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225" codeName="{AE6600E7-7A62-396C-DE95-9942FA9DD81E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https://arup-my.sharepoint.com/personal/cal_mense_arup_com/Documents/01_Privat/03_Masterarbeit/03_Skripting/00_neu/02_Tutorials/01_Stützenbemessung_ec5_63/"/>
    </mc:Choice>
  </mc:AlternateContent>
  <xr:revisionPtr revIDLastSave="190894" documentId="8_{5B9F9AFC-B574-4D2A-B524-7215E70ED0E1}" xr6:coauthVersionLast="47" xr6:coauthVersionMax="47" xr10:uidLastSave="{44C3A9BD-09DA-4FC0-99AE-8FEB6D10DC5C}"/>
  <bookViews>
    <workbookView xWindow="-96" yWindow="-96" windowWidth="23232" windowHeight="12552" tabRatio="500" activeTab="1" xr2:uid="{00000000-000D-0000-FFFF-FFFF00000000}"/>
  </bookViews>
  <sheets>
    <sheet name="Lastabtrag" sheetId="3" r:id="rId1"/>
    <sheet name="Stützenbemessung" sheetId="5" r:id="rId2"/>
    <sheet name="-H-DONE-" sheetId="6" state="hidden" r:id="rId3"/>
    <sheet name="Parameterstudien" sheetId="13" state="hidden" r:id="rId4"/>
    <sheet name="-HOLZ- (2)" sheetId="12" state="hidden" r:id="rId5"/>
    <sheet name="Theorie II. Ordnung" sheetId="8" r:id="rId6"/>
    <sheet name="Theorie II. Ordnung (2)" sheetId="15" state="hidden" r:id="rId7"/>
    <sheet name="Listen und Kennwerte" sheetId="9" r:id="rId8"/>
    <sheet name="_xlwings.conf" sheetId="2" state="hidden" r:id="rId9"/>
  </sheets>
  <definedNames>
    <definedName name="_xlnm.Print_Area" localSheetId="2">'-H-DONE-'!$B$2:$AA$72</definedName>
  </definedNames>
  <calcPr calcId="191029"/>
  <extLs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U49" i="8" l="1"/>
  <c r="V31" i="8"/>
  <c r="V30" i="8" s="1"/>
  <c r="F31" i="8"/>
  <c r="F30" i="8" s="1"/>
  <c r="V29" i="8"/>
  <c r="F29" i="8"/>
  <c r="P107" i="8"/>
  <c r="P110" i="8" s="1"/>
  <c r="Z110" i="8" s="1"/>
  <c r="G97" i="8"/>
  <c r="Q50" i="8"/>
  <c r="Q51" i="8" s="1"/>
  <c r="M11" i="9"/>
  <c r="M10" i="9"/>
  <c r="M8" i="9"/>
  <c r="H107" i="8"/>
  <c r="H110" i="8" s="1"/>
  <c r="R115" i="15"/>
  <c r="L115" i="15"/>
  <c r="R114" i="15"/>
  <c r="G114" i="15"/>
  <c r="Q110" i="15"/>
  <c r="X110" i="15" s="1"/>
  <c r="Y115" i="15" s="1"/>
  <c r="H110" i="15"/>
  <c r="G115" i="15" s="1"/>
  <c r="Q109" i="15"/>
  <c r="H109" i="15"/>
  <c r="G103" i="15"/>
  <c r="Y114" i="15" s="1"/>
  <c r="G101" i="15"/>
  <c r="W93" i="15"/>
  <c r="Q93" i="15"/>
  <c r="K93" i="15"/>
  <c r="E93" i="15"/>
  <c r="W74" i="15"/>
  <c r="Q74" i="15"/>
  <c r="K74" i="15"/>
  <c r="E74" i="15"/>
  <c r="Y41" i="15"/>
  <c r="AH41" i="15" s="1"/>
  <c r="T24" i="15"/>
  <c r="T23" i="15"/>
  <c r="V20" i="15"/>
  <c r="R20" i="15"/>
  <c r="V17" i="15"/>
  <c r="R17" i="15"/>
  <c r="T72" i="5"/>
  <c r="S72" i="5"/>
  <c r="R72" i="5"/>
  <c r="Q72" i="5"/>
  <c r="U71" i="5"/>
  <c r="T71" i="5"/>
  <c r="S71" i="5"/>
  <c r="R71" i="5"/>
  <c r="Q71" i="5"/>
  <c r="U70" i="5"/>
  <c r="T70" i="5"/>
  <c r="S70" i="5"/>
  <c r="R70" i="5"/>
  <c r="Q70" i="5"/>
  <c r="U69" i="5"/>
  <c r="T69" i="5"/>
  <c r="S69" i="5"/>
  <c r="R69" i="5"/>
  <c r="Q69" i="5"/>
  <c r="U68" i="5"/>
  <c r="T68" i="5"/>
  <c r="S68" i="5"/>
  <c r="R68" i="5"/>
  <c r="Q68" i="5"/>
  <c r="U67" i="5"/>
  <c r="T67" i="5"/>
  <c r="S67" i="5"/>
  <c r="R67" i="5"/>
  <c r="Q67" i="5"/>
  <c r="T66" i="5"/>
  <c r="S66" i="5"/>
  <c r="R66" i="5"/>
  <c r="Q66" i="5"/>
  <c r="U65" i="5"/>
  <c r="T65" i="5"/>
  <c r="S65" i="5"/>
  <c r="R65" i="5"/>
  <c r="Q65" i="5"/>
  <c r="U64" i="5"/>
  <c r="T64" i="5"/>
  <c r="S64" i="5"/>
  <c r="R64" i="5"/>
  <c r="Q64" i="5"/>
  <c r="U63" i="5"/>
  <c r="T63" i="5"/>
  <c r="S63" i="5"/>
  <c r="R63" i="5"/>
  <c r="Q63" i="5"/>
  <c r="U62" i="5"/>
  <c r="T62" i="5"/>
  <c r="S62" i="5"/>
  <c r="R62" i="5"/>
  <c r="Q62" i="5"/>
  <c r="U61" i="5"/>
  <c r="T61" i="5"/>
  <c r="S61" i="5"/>
  <c r="R61" i="5"/>
  <c r="Q61" i="5"/>
  <c r="U60" i="5"/>
  <c r="T60" i="5"/>
  <c r="S60" i="5"/>
  <c r="R60" i="5"/>
  <c r="Q60" i="5"/>
  <c r="U59" i="5"/>
  <c r="T59" i="5"/>
  <c r="S59" i="5"/>
  <c r="R59" i="5"/>
  <c r="Q59" i="5"/>
  <c r="U58" i="5"/>
  <c r="T58" i="5"/>
  <c r="S58" i="5"/>
  <c r="R58" i="5"/>
  <c r="Q58" i="5"/>
  <c r="U57" i="5"/>
  <c r="T57" i="5"/>
  <c r="S57" i="5"/>
  <c r="R57" i="5"/>
  <c r="Q57" i="5"/>
  <c r="T56" i="5"/>
  <c r="S56" i="5"/>
  <c r="R56" i="5"/>
  <c r="Q56" i="5"/>
  <c r="T55" i="5"/>
  <c r="S55" i="5"/>
  <c r="R55" i="5"/>
  <c r="Q55" i="5"/>
  <c r="U54" i="5"/>
  <c r="T54" i="5"/>
  <c r="S54" i="5"/>
  <c r="R54" i="5"/>
  <c r="Q54" i="5"/>
  <c r="U53" i="5"/>
  <c r="T53" i="5"/>
  <c r="S53" i="5"/>
  <c r="R53" i="5"/>
  <c r="Q53" i="5"/>
  <c r="U52" i="5"/>
  <c r="T52" i="5"/>
  <c r="S52" i="5"/>
  <c r="R52" i="5"/>
  <c r="Q52" i="5"/>
  <c r="U51" i="5"/>
  <c r="T51" i="5"/>
  <c r="S51" i="5"/>
  <c r="R51" i="5"/>
  <c r="Q51" i="5"/>
  <c r="U50" i="5"/>
  <c r="T50" i="5"/>
  <c r="S50" i="5"/>
  <c r="R50" i="5"/>
  <c r="Q50" i="5"/>
  <c r="T49" i="5"/>
  <c r="S49" i="5"/>
  <c r="R49" i="5"/>
  <c r="Q49" i="5"/>
  <c r="T48" i="5"/>
  <c r="S48" i="5"/>
  <c r="R48" i="5"/>
  <c r="Q48" i="5"/>
  <c r="U47" i="5"/>
  <c r="T47" i="5"/>
  <c r="S47" i="5"/>
  <c r="R47" i="5"/>
  <c r="Q47" i="5"/>
  <c r="T46" i="5"/>
  <c r="S46" i="5"/>
  <c r="R46" i="5"/>
  <c r="Q46" i="5"/>
  <c r="U45" i="5"/>
  <c r="T45" i="5"/>
  <c r="S45" i="5"/>
  <c r="R45" i="5"/>
  <c r="Q45" i="5"/>
  <c r="U44" i="5"/>
  <c r="T44" i="5"/>
  <c r="S44" i="5"/>
  <c r="R44" i="5"/>
  <c r="Q44" i="5"/>
  <c r="T43" i="5"/>
  <c r="S43" i="5"/>
  <c r="R43" i="5"/>
  <c r="Q43" i="5"/>
  <c r="U42" i="5"/>
  <c r="T42" i="5"/>
  <c r="S42" i="5"/>
  <c r="R42" i="5"/>
  <c r="Q42" i="5"/>
  <c r="U41" i="5"/>
  <c r="T41" i="5"/>
  <c r="S41" i="5"/>
  <c r="R41" i="5"/>
  <c r="Q41" i="5"/>
  <c r="U40" i="5"/>
  <c r="T40" i="5"/>
  <c r="S40" i="5"/>
  <c r="R40" i="5"/>
  <c r="Q40" i="5"/>
  <c r="T39" i="5"/>
  <c r="S39" i="5"/>
  <c r="R39" i="5"/>
  <c r="Q39" i="5"/>
  <c r="U38" i="5"/>
  <c r="T38" i="5"/>
  <c r="S38" i="5"/>
  <c r="R38" i="5"/>
  <c r="Q38" i="5"/>
  <c r="U37" i="5"/>
  <c r="T37" i="5"/>
  <c r="S37" i="5"/>
  <c r="R37" i="5"/>
  <c r="Q37" i="5"/>
  <c r="U36" i="5"/>
  <c r="T36" i="5"/>
  <c r="S36" i="5"/>
  <c r="R36" i="5"/>
  <c r="Q36" i="5"/>
  <c r="U35" i="5"/>
  <c r="T35" i="5"/>
  <c r="S35" i="5"/>
  <c r="R35" i="5"/>
  <c r="Q35" i="5"/>
  <c r="T34" i="5"/>
  <c r="S34" i="5"/>
  <c r="R34" i="5"/>
  <c r="Q34" i="5"/>
  <c r="T33" i="5"/>
  <c r="S33" i="5"/>
  <c r="R33" i="5"/>
  <c r="Q33" i="5"/>
  <c r="U32" i="5"/>
  <c r="T32" i="5"/>
  <c r="S32" i="5"/>
  <c r="R32" i="5"/>
  <c r="Q32" i="5"/>
  <c r="U31" i="5"/>
  <c r="T31" i="5"/>
  <c r="S31" i="5"/>
  <c r="R31" i="5"/>
  <c r="Q31" i="5"/>
  <c r="U30" i="5"/>
  <c r="T30" i="5"/>
  <c r="S30" i="5"/>
  <c r="R30" i="5"/>
  <c r="Q30" i="5"/>
  <c r="U29" i="5"/>
  <c r="T29" i="5"/>
  <c r="S29" i="5"/>
  <c r="R29" i="5"/>
  <c r="Q29" i="5"/>
  <c r="U28" i="5"/>
  <c r="T28" i="5"/>
  <c r="S28" i="5"/>
  <c r="R28" i="5"/>
  <c r="Q28" i="5"/>
  <c r="U27" i="5"/>
  <c r="T27" i="5"/>
  <c r="S27" i="5"/>
  <c r="R27" i="5"/>
  <c r="Q27" i="5"/>
  <c r="T26" i="5"/>
  <c r="S26" i="5"/>
  <c r="R26" i="5"/>
  <c r="Q26" i="5"/>
  <c r="U25" i="5"/>
  <c r="T25" i="5"/>
  <c r="S25" i="5"/>
  <c r="R25" i="5"/>
  <c r="Q25" i="5"/>
  <c r="U24" i="5"/>
  <c r="T24" i="5"/>
  <c r="S24" i="5"/>
  <c r="R24" i="5"/>
  <c r="Q24" i="5"/>
  <c r="U23" i="5"/>
  <c r="T23" i="5"/>
  <c r="S23" i="5"/>
  <c r="R23" i="5"/>
  <c r="Q23" i="5"/>
  <c r="U22" i="5"/>
  <c r="T22" i="5"/>
  <c r="S22" i="5"/>
  <c r="R22" i="5"/>
  <c r="Q22" i="5"/>
  <c r="U21" i="5"/>
  <c r="T21" i="5"/>
  <c r="S21" i="5"/>
  <c r="R21" i="5"/>
  <c r="Q21" i="5"/>
  <c r="T20" i="5"/>
  <c r="S20" i="5"/>
  <c r="R20" i="5"/>
  <c r="Q20" i="5"/>
  <c r="T19" i="5"/>
  <c r="S19" i="5"/>
  <c r="R19" i="5"/>
  <c r="Q19" i="5"/>
  <c r="T18" i="5"/>
  <c r="S18" i="5"/>
  <c r="R18" i="5"/>
  <c r="Q18" i="5"/>
  <c r="T17" i="5"/>
  <c r="S17" i="5"/>
  <c r="R17" i="5"/>
  <c r="Q17" i="5"/>
  <c r="U16" i="5"/>
  <c r="T16" i="5"/>
  <c r="S16" i="5"/>
  <c r="R16" i="5"/>
  <c r="Q16" i="5"/>
  <c r="U15" i="5"/>
  <c r="T15" i="5"/>
  <c r="S15" i="5"/>
  <c r="R15" i="5"/>
  <c r="Q15" i="5"/>
  <c r="U14" i="5"/>
  <c r="T14" i="5"/>
  <c r="S14" i="5"/>
  <c r="R14" i="5"/>
  <c r="Q14" i="5"/>
  <c r="U13" i="5"/>
  <c r="T13" i="5"/>
  <c r="S13" i="5"/>
  <c r="R13" i="5"/>
  <c r="Q13" i="5"/>
  <c r="U12" i="5"/>
  <c r="T12" i="5"/>
  <c r="S12" i="5"/>
  <c r="R12" i="5"/>
  <c r="Q12" i="5"/>
  <c r="U11" i="5"/>
  <c r="T11" i="5"/>
  <c r="S11" i="5"/>
  <c r="R11" i="5"/>
  <c r="Q11" i="5"/>
  <c r="U10" i="5"/>
  <c r="T10" i="5"/>
  <c r="S10" i="5"/>
  <c r="R10" i="5"/>
  <c r="Q10" i="5"/>
  <c r="BL11" i="5"/>
  <c r="BL12" i="5"/>
  <c r="BL13" i="5"/>
  <c r="BL14" i="5"/>
  <c r="BL15" i="5"/>
  <c r="BL16" i="5"/>
  <c r="BL17" i="5"/>
  <c r="BL18" i="5"/>
  <c r="BL19" i="5"/>
  <c r="BL20" i="5"/>
  <c r="BL21" i="5"/>
  <c r="BL22" i="5"/>
  <c r="BL23" i="5"/>
  <c r="BL24" i="5"/>
  <c r="BL25" i="5"/>
  <c r="BL26" i="5"/>
  <c r="BL27" i="5"/>
  <c r="BL28" i="5"/>
  <c r="BL29" i="5"/>
  <c r="BL30" i="5"/>
  <c r="BL31" i="5"/>
  <c r="BL32" i="5"/>
  <c r="BL33" i="5"/>
  <c r="BL34" i="5"/>
  <c r="BL35" i="5"/>
  <c r="BL36" i="5"/>
  <c r="BL37" i="5"/>
  <c r="BL38" i="5"/>
  <c r="BL39" i="5"/>
  <c r="BL40" i="5"/>
  <c r="BL41" i="5"/>
  <c r="BL42" i="5"/>
  <c r="BL43" i="5"/>
  <c r="BL44" i="5"/>
  <c r="BL45" i="5"/>
  <c r="BL46" i="5"/>
  <c r="BL47" i="5"/>
  <c r="BL48" i="5"/>
  <c r="BL49" i="5"/>
  <c r="BL50" i="5"/>
  <c r="BL51" i="5"/>
  <c r="BL52" i="5"/>
  <c r="BL53" i="5"/>
  <c r="BL54" i="5"/>
  <c r="BL55" i="5"/>
  <c r="BL56" i="5"/>
  <c r="BL57" i="5"/>
  <c r="BL58" i="5"/>
  <c r="BL59" i="5"/>
  <c r="BL60" i="5"/>
  <c r="BL61" i="5"/>
  <c r="BL62" i="5"/>
  <c r="BL63" i="5"/>
  <c r="BL64" i="5"/>
  <c r="BL65" i="5"/>
  <c r="BL66" i="5"/>
  <c r="BL67" i="5"/>
  <c r="BL68" i="5"/>
  <c r="BL69" i="5"/>
  <c r="BL70" i="5"/>
  <c r="BL71" i="5"/>
  <c r="BL72" i="5"/>
  <c r="BL10" i="5"/>
  <c r="X109" i="15" l="1"/>
  <c r="AR101" i="5"/>
  <c r="AR102" i="5"/>
  <c r="AR103" i="5"/>
  <c r="AR104" i="5"/>
  <c r="AR105" i="5"/>
  <c r="AR106" i="5"/>
  <c r="AR107" i="5"/>
  <c r="AR108" i="5"/>
  <c r="AR109" i="5"/>
  <c r="AR110" i="5"/>
  <c r="AR111" i="5"/>
  <c r="AR112" i="5"/>
  <c r="AR113" i="5"/>
  <c r="AR114" i="5"/>
  <c r="AR115" i="5"/>
  <c r="AR116" i="5"/>
  <c r="AR117" i="5"/>
  <c r="AR118" i="5"/>
  <c r="AR119" i="5"/>
  <c r="AR120" i="5"/>
  <c r="AR121" i="5"/>
  <c r="AR122" i="5"/>
  <c r="AR123" i="5"/>
  <c r="AR124" i="5"/>
  <c r="AR125" i="5"/>
  <c r="AR126" i="5"/>
  <c r="AR127" i="5"/>
  <c r="AR128" i="5"/>
  <c r="AR129" i="5"/>
  <c r="AR130" i="5"/>
  <c r="AR131" i="5"/>
  <c r="AR132" i="5"/>
  <c r="AR133" i="5"/>
  <c r="AR134" i="5"/>
  <c r="AR135" i="5"/>
  <c r="AR136" i="5"/>
  <c r="AR137" i="5"/>
  <c r="AR138" i="5"/>
  <c r="AR139" i="5"/>
  <c r="AR140" i="5"/>
  <c r="AR141" i="5"/>
  <c r="AZ26" i="13"/>
  <c r="AZ27" i="13"/>
  <c r="AZ28" i="13"/>
  <c r="AZ29" i="13"/>
  <c r="AZ30" i="13"/>
  <c r="AZ31" i="13"/>
  <c r="AZ32" i="13"/>
  <c r="AZ11" i="13"/>
  <c r="AZ12" i="13"/>
  <c r="AZ13" i="13"/>
  <c r="AZ14" i="13"/>
  <c r="AZ15" i="13"/>
  <c r="AZ16" i="13"/>
  <c r="AZ17" i="13"/>
  <c r="AZ18" i="13"/>
  <c r="AZ19" i="13"/>
  <c r="AZ20" i="13"/>
  <c r="AZ21" i="13"/>
  <c r="AZ22" i="13"/>
  <c r="AZ23" i="13"/>
  <c r="AZ24" i="13"/>
  <c r="AZ25" i="13"/>
  <c r="AZ10" i="13"/>
  <c r="U39" i="13"/>
  <c r="T39" i="13"/>
  <c r="S39" i="13"/>
  <c r="R39" i="13"/>
  <c r="Q39" i="13"/>
  <c r="U38" i="13"/>
  <c r="T38" i="13"/>
  <c r="S38" i="13"/>
  <c r="R38" i="13"/>
  <c r="Q38" i="13"/>
  <c r="U37" i="13"/>
  <c r="T37" i="13"/>
  <c r="S37" i="13"/>
  <c r="R37" i="13"/>
  <c r="Q37" i="13"/>
  <c r="U36" i="13"/>
  <c r="T36" i="13"/>
  <c r="S36" i="13"/>
  <c r="R36" i="13"/>
  <c r="Q36" i="13"/>
  <c r="U35" i="13"/>
  <c r="T35" i="13"/>
  <c r="S35" i="13"/>
  <c r="R35" i="13"/>
  <c r="Q35" i="13"/>
  <c r="U34" i="13"/>
  <c r="T34" i="13"/>
  <c r="S34" i="13"/>
  <c r="R34" i="13"/>
  <c r="Q34" i="13"/>
  <c r="U33" i="13"/>
  <c r="T33" i="13"/>
  <c r="S33" i="13"/>
  <c r="R33" i="13"/>
  <c r="Q33" i="13"/>
  <c r="U32" i="13"/>
  <c r="T32" i="13"/>
  <c r="S32" i="13"/>
  <c r="R32" i="13"/>
  <c r="Q32" i="13"/>
  <c r="U31" i="13"/>
  <c r="T31" i="13"/>
  <c r="S31" i="13"/>
  <c r="R31" i="13"/>
  <c r="Q31" i="13"/>
  <c r="U30" i="13"/>
  <c r="T30" i="13"/>
  <c r="S30" i="13"/>
  <c r="R30" i="13"/>
  <c r="Q30" i="13"/>
  <c r="U69" i="13"/>
  <c r="T69" i="13"/>
  <c r="S69" i="13"/>
  <c r="R69" i="13"/>
  <c r="Q69" i="13"/>
  <c r="U68" i="13"/>
  <c r="T68" i="13"/>
  <c r="S68" i="13"/>
  <c r="R68" i="13"/>
  <c r="Q68" i="13"/>
  <c r="U67" i="13"/>
  <c r="T67" i="13"/>
  <c r="S67" i="13"/>
  <c r="R67" i="13"/>
  <c r="Q67" i="13"/>
  <c r="U66" i="13"/>
  <c r="T66" i="13"/>
  <c r="S66" i="13"/>
  <c r="R66" i="13"/>
  <c r="Q66" i="13"/>
  <c r="U65" i="13"/>
  <c r="T65" i="13"/>
  <c r="S65" i="13"/>
  <c r="R65" i="13"/>
  <c r="Q65" i="13"/>
  <c r="U64" i="13"/>
  <c r="T64" i="13"/>
  <c r="S64" i="13"/>
  <c r="R64" i="13"/>
  <c r="Q64" i="13"/>
  <c r="U63" i="13"/>
  <c r="T63" i="13"/>
  <c r="S63" i="13"/>
  <c r="R63" i="13"/>
  <c r="Q63" i="13"/>
  <c r="U62" i="13"/>
  <c r="T62" i="13"/>
  <c r="S62" i="13"/>
  <c r="R62" i="13"/>
  <c r="Q62" i="13"/>
  <c r="U61" i="13"/>
  <c r="T61" i="13"/>
  <c r="S61" i="13"/>
  <c r="R61" i="13"/>
  <c r="Q61" i="13"/>
  <c r="U60" i="13"/>
  <c r="T60" i="13"/>
  <c r="S60" i="13"/>
  <c r="R60" i="13"/>
  <c r="Q60" i="13"/>
  <c r="U59" i="13"/>
  <c r="T59" i="13"/>
  <c r="S59" i="13"/>
  <c r="R59" i="13"/>
  <c r="Q59" i="13"/>
  <c r="U58" i="13"/>
  <c r="T58" i="13"/>
  <c r="S58" i="13"/>
  <c r="R58" i="13"/>
  <c r="Q58" i="13"/>
  <c r="U57" i="13"/>
  <c r="T57" i="13"/>
  <c r="S57" i="13"/>
  <c r="R57" i="13"/>
  <c r="Q57" i="13"/>
  <c r="U56" i="13"/>
  <c r="T56" i="13"/>
  <c r="S56" i="13"/>
  <c r="R56" i="13"/>
  <c r="Q56" i="13"/>
  <c r="U55" i="13"/>
  <c r="T55" i="13"/>
  <c r="S55" i="13"/>
  <c r="R55" i="13"/>
  <c r="Q55" i="13"/>
  <c r="U54" i="13"/>
  <c r="T54" i="13"/>
  <c r="S54" i="13"/>
  <c r="R54" i="13"/>
  <c r="Q54" i="13"/>
  <c r="U53" i="13"/>
  <c r="T53" i="13"/>
  <c r="S53" i="13"/>
  <c r="R53" i="13"/>
  <c r="Q53" i="13"/>
  <c r="U52" i="13"/>
  <c r="T52" i="13"/>
  <c r="S52" i="13"/>
  <c r="R52" i="13"/>
  <c r="Q52" i="13"/>
  <c r="U51" i="13"/>
  <c r="T51" i="13"/>
  <c r="S51" i="13"/>
  <c r="R51" i="13"/>
  <c r="Q51" i="13"/>
  <c r="U50" i="13"/>
  <c r="T50" i="13"/>
  <c r="S50" i="13"/>
  <c r="R50" i="13"/>
  <c r="Q50" i="13"/>
  <c r="U49" i="13"/>
  <c r="T49" i="13"/>
  <c r="S49" i="13"/>
  <c r="R49" i="13"/>
  <c r="Q49" i="13"/>
  <c r="U48" i="13"/>
  <c r="T48" i="13"/>
  <c r="S48" i="13"/>
  <c r="R48" i="13"/>
  <c r="Q48" i="13"/>
  <c r="U47" i="13"/>
  <c r="T47" i="13"/>
  <c r="S47" i="13"/>
  <c r="R47" i="13"/>
  <c r="Q47" i="13"/>
  <c r="U46" i="13"/>
  <c r="T46" i="13"/>
  <c r="S46" i="13"/>
  <c r="R46" i="13"/>
  <c r="Q46" i="13"/>
  <c r="U45" i="13"/>
  <c r="T45" i="13"/>
  <c r="S45" i="13"/>
  <c r="R45" i="13"/>
  <c r="Q45" i="13"/>
  <c r="U44" i="13"/>
  <c r="T44" i="13"/>
  <c r="S44" i="13"/>
  <c r="R44" i="13"/>
  <c r="Q44" i="13"/>
  <c r="U43" i="13"/>
  <c r="T43" i="13"/>
  <c r="S43" i="13"/>
  <c r="R43" i="13"/>
  <c r="Q43" i="13"/>
  <c r="U42" i="13"/>
  <c r="T42" i="13"/>
  <c r="S42" i="13"/>
  <c r="R42" i="13"/>
  <c r="Q42" i="13"/>
  <c r="U41" i="13"/>
  <c r="T41" i="13"/>
  <c r="S41" i="13"/>
  <c r="R41" i="13"/>
  <c r="Q41" i="13"/>
  <c r="U40" i="13"/>
  <c r="T40" i="13"/>
  <c r="S40" i="13"/>
  <c r="R40" i="13"/>
  <c r="Q40" i="13"/>
  <c r="Q23" i="13"/>
  <c r="R23" i="13"/>
  <c r="S23" i="13"/>
  <c r="T23" i="13"/>
  <c r="U23" i="13"/>
  <c r="Q24" i="13"/>
  <c r="R24" i="13"/>
  <c r="S24" i="13"/>
  <c r="T24" i="13"/>
  <c r="U24" i="13"/>
  <c r="Q25" i="13"/>
  <c r="R25" i="13"/>
  <c r="S25" i="13"/>
  <c r="T25" i="13"/>
  <c r="U25" i="13"/>
  <c r="Q26" i="13"/>
  <c r="R26" i="13"/>
  <c r="S26" i="13"/>
  <c r="T26" i="13"/>
  <c r="U26" i="13"/>
  <c r="Q27" i="13"/>
  <c r="R27" i="13"/>
  <c r="S27" i="13"/>
  <c r="T27" i="13"/>
  <c r="U27" i="13"/>
  <c r="Q28" i="13"/>
  <c r="R28" i="13"/>
  <c r="S28" i="13"/>
  <c r="T28" i="13"/>
  <c r="U28" i="13"/>
  <c r="Q29" i="13"/>
  <c r="R29" i="13"/>
  <c r="S29" i="13"/>
  <c r="T29" i="13"/>
  <c r="U29" i="13"/>
  <c r="U22" i="13"/>
  <c r="T22" i="13"/>
  <c r="S22" i="13"/>
  <c r="R22" i="13"/>
  <c r="Q22" i="13"/>
  <c r="U21" i="13"/>
  <c r="T21" i="13"/>
  <c r="S21" i="13"/>
  <c r="R21" i="13"/>
  <c r="Q21" i="13"/>
  <c r="U20" i="13"/>
  <c r="T20" i="13"/>
  <c r="S20" i="13"/>
  <c r="R20" i="13"/>
  <c r="Q20" i="13"/>
  <c r="U19" i="13"/>
  <c r="T19" i="13"/>
  <c r="S19" i="13"/>
  <c r="R19" i="13"/>
  <c r="Q19" i="13"/>
  <c r="U18" i="13"/>
  <c r="T18" i="13"/>
  <c r="S18" i="13"/>
  <c r="R18" i="13"/>
  <c r="Q18" i="13"/>
  <c r="U17" i="13"/>
  <c r="T17" i="13"/>
  <c r="S17" i="13"/>
  <c r="R17" i="13"/>
  <c r="Q17" i="13"/>
  <c r="U16" i="13"/>
  <c r="T16" i="13"/>
  <c r="S16" i="13"/>
  <c r="R16" i="13"/>
  <c r="Q16" i="13"/>
  <c r="U15" i="13"/>
  <c r="T15" i="13"/>
  <c r="S15" i="13"/>
  <c r="R15" i="13"/>
  <c r="Q15" i="13"/>
  <c r="U14" i="13"/>
  <c r="T14" i="13"/>
  <c r="S14" i="13"/>
  <c r="R14" i="13"/>
  <c r="Q14" i="13"/>
  <c r="U13" i="13"/>
  <c r="T13" i="13"/>
  <c r="S13" i="13"/>
  <c r="R13" i="13"/>
  <c r="Q13" i="13"/>
  <c r="U12" i="13"/>
  <c r="T12" i="13"/>
  <c r="S12" i="13"/>
  <c r="R12" i="13"/>
  <c r="Q12" i="13"/>
  <c r="U11" i="13"/>
  <c r="T11" i="13"/>
  <c r="S11" i="13"/>
  <c r="R11" i="13"/>
  <c r="Q11" i="13"/>
  <c r="U10" i="13"/>
  <c r="T10" i="13"/>
  <c r="S10" i="13"/>
  <c r="R10" i="13"/>
  <c r="Q10" i="13"/>
  <c r="L72" i="12" l="1"/>
  <c r="K72" i="12"/>
  <c r="J72" i="12"/>
  <c r="I72" i="12"/>
  <c r="L71" i="12"/>
  <c r="K71" i="12"/>
  <c r="J71" i="12"/>
  <c r="I71" i="12"/>
  <c r="L70" i="12"/>
  <c r="K70" i="12"/>
  <c r="J70" i="12"/>
  <c r="I70" i="12"/>
  <c r="L69" i="12"/>
  <c r="K69" i="12"/>
  <c r="J69" i="12"/>
  <c r="I69" i="12"/>
  <c r="L68" i="12"/>
  <c r="K68" i="12"/>
  <c r="J68" i="12"/>
  <c r="I68" i="12"/>
  <c r="L67" i="12"/>
  <c r="K67" i="12"/>
  <c r="J67" i="12"/>
  <c r="I67" i="12"/>
  <c r="L66" i="12"/>
  <c r="K66" i="12"/>
  <c r="J66" i="12"/>
  <c r="I66" i="12"/>
  <c r="L65" i="12"/>
  <c r="K65" i="12"/>
  <c r="J65" i="12"/>
  <c r="I65" i="12"/>
  <c r="L64" i="12"/>
  <c r="K64" i="12"/>
  <c r="J64" i="12"/>
  <c r="I64" i="12"/>
  <c r="L63" i="12"/>
  <c r="K63" i="12"/>
  <c r="J63" i="12"/>
  <c r="I63" i="12"/>
  <c r="L62" i="12"/>
  <c r="K62" i="12"/>
  <c r="J62" i="12"/>
  <c r="I62" i="12"/>
  <c r="L61" i="12"/>
  <c r="K61" i="12"/>
  <c r="J61" i="12"/>
  <c r="I61" i="12"/>
  <c r="L60" i="12"/>
  <c r="K60" i="12"/>
  <c r="J60" i="12"/>
  <c r="I60" i="12"/>
  <c r="L59" i="12"/>
  <c r="K59" i="12"/>
  <c r="J59" i="12"/>
  <c r="I59" i="12"/>
  <c r="L58" i="12"/>
  <c r="K58" i="12"/>
  <c r="J58" i="12"/>
  <c r="I58" i="12"/>
  <c r="L57" i="12"/>
  <c r="K57" i="12"/>
  <c r="J57" i="12"/>
  <c r="I57" i="12"/>
  <c r="L56" i="12"/>
  <c r="K56" i="12"/>
  <c r="J56" i="12"/>
  <c r="I56" i="12"/>
  <c r="L55" i="12"/>
  <c r="K55" i="12"/>
  <c r="J55" i="12"/>
  <c r="I55" i="12"/>
  <c r="L54" i="12"/>
  <c r="K54" i="12"/>
  <c r="J54" i="12"/>
  <c r="I54" i="12"/>
  <c r="L53" i="12"/>
  <c r="K53" i="12"/>
  <c r="J53" i="12"/>
  <c r="I53" i="12"/>
  <c r="L52" i="12"/>
  <c r="K52" i="12"/>
  <c r="J52" i="12"/>
  <c r="I52" i="12"/>
  <c r="L51" i="12"/>
  <c r="K51" i="12"/>
  <c r="J51" i="12"/>
  <c r="I51" i="12"/>
  <c r="L50" i="12"/>
  <c r="K50" i="12"/>
  <c r="J50" i="12"/>
  <c r="I50" i="12"/>
  <c r="L49" i="12"/>
  <c r="K49" i="12"/>
  <c r="J49" i="12"/>
  <c r="I49" i="12"/>
  <c r="L48" i="12"/>
  <c r="K48" i="12"/>
  <c r="J48" i="12"/>
  <c r="I48" i="12"/>
  <c r="L47" i="12"/>
  <c r="K47" i="12"/>
  <c r="J47" i="12"/>
  <c r="I47" i="12"/>
  <c r="L46" i="12"/>
  <c r="K46" i="12"/>
  <c r="J46" i="12"/>
  <c r="I46" i="12"/>
  <c r="L45" i="12"/>
  <c r="K45" i="12"/>
  <c r="J45" i="12"/>
  <c r="I45" i="12"/>
  <c r="L44" i="12"/>
  <c r="K44" i="12"/>
  <c r="J44" i="12"/>
  <c r="I44" i="12"/>
  <c r="L43" i="12"/>
  <c r="K43" i="12"/>
  <c r="J43" i="12"/>
  <c r="I43" i="12"/>
  <c r="L42" i="12"/>
  <c r="K42" i="12"/>
  <c r="J42" i="12"/>
  <c r="I42" i="12"/>
  <c r="L41" i="12"/>
  <c r="K41" i="12"/>
  <c r="J41" i="12"/>
  <c r="I41" i="12"/>
  <c r="L40" i="12"/>
  <c r="K40" i="12"/>
  <c r="J40" i="12"/>
  <c r="I40" i="12"/>
  <c r="L39" i="12"/>
  <c r="K39" i="12"/>
  <c r="J39" i="12"/>
  <c r="I39" i="12"/>
  <c r="L38" i="12"/>
  <c r="K38" i="12"/>
  <c r="J38" i="12"/>
  <c r="I38" i="12"/>
  <c r="L37" i="12"/>
  <c r="K37" i="12"/>
  <c r="J37" i="12"/>
  <c r="I37" i="12"/>
  <c r="L36" i="12"/>
  <c r="K36" i="12"/>
  <c r="J36" i="12"/>
  <c r="I36" i="12"/>
  <c r="L35" i="12"/>
  <c r="K35" i="12"/>
  <c r="J35" i="12"/>
  <c r="I35" i="12"/>
  <c r="L34" i="12"/>
  <c r="K34" i="12"/>
  <c r="J34" i="12"/>
  <c r="I34" i="12"/>
  <c r="L33" i="12"/>
  <c r="K33" i="12"/>
  <c r="J33" i="12"/>
  <c r="I33" i="12"/>
  <c r="L32" i="12"/>
  <c r="K32" i="12"/>
  <c r="J32" i="12"/>
  <c r="I32" i="12"/>
  <c r="L31" i="12"/>
  <c r="K31" i="12"/>
  <c r="J31" i="12"/>
  <c r="I31" i="12"/>
  <c r="L30" i="12"/>
  <c r="K30" i="12"/>
  <c r="J30" i="12"/>
  <c r="I30" i="12"/>
  <c r="L29" i="12"/>
  <c r="K29" i="12"/>
  <c r="J29" i="12"/>
  <c r="I29" i="12"/>
  <c r="L28" i="12"/>
  <c r="K28" i="12"/>
  <c r="J28" i="12"/>
  <c r="I28" i="12"/>
  <c r="L27" i="12"/>
  <c r="K27" i="12"/>
  <c r="J27" i="12"/>
  <c r="I27" i="12"/>
  <c r="L26" i="12"/>
  <c r="K26" i="12"/>
  <c r="J26" i="12"/>
  <c r="I26" i="12"/>
  <c r="L25" i="12"/>
  <c r="K25" i="12"/>
  <c r="J25" i="12"/>
  <c r="I25" i="12"/>
  <c r="L24" i="12"/>
  <c r="K24" i="12"/>
  <c r="J24" i="12"/>
  <c r="I24" i="12"/>
  <c r="L23" i="12"/>
  <c r="K23" i="12"/>
  <c r="J23" i="12"/>
  <c r="I23" i="12"/>
  <c r="L22" i="12"/>
  <c r="K22" i="12"/>
  <c r="J22" i="12"/>
  <c r="I22" i="12"/>
  <c r="L21" i="12"/>
  <c r="K21" i="12"/>
  <c r="J21" i="12"/>
  <c r="I21" i="12"/>
  <c r="L20" i="12"/>
  <c r="K20" i="12"/>
  <c r="J20" i="12"/>
  <c r="I20" i="12"/>
  <c r="L19" i="12"/>
  <c r="K19" i="12"/>
  <c r="J19" i="12"/>
  <c r="I19" i="12"/>
  <c r="L18" i="12"/>
  <c r="K18" i="12"/>
  <c r="J18" i="12"/>
  <c r="I18" i="12"/>
  <c r="L17" i="12"/>
  <c r="K17" i="12"/>
  <c r="J17" i="12"/>
  <c r="I17" i="12"/>
  <c r="L16" i="12"/>
  <c r="K16" i="12"/>
  <c r="J16" i="12"/>
  <c r="I16" i="12"/>
  <c r="L15" i="12"/>
  <c r="K15" i="12"/>
  <c r="J15" i="12"/>
  <c r="I15" i="12"/>
  <c r="L14" i="12"/>
  <c r="K14" i="12"/>
  <c r="J14" i="12"/>
  <c r="I14" i="12"/>
  <c r="L13" i="12"/>
  <c r="K13" i="12"/>
  <c r="J13" i="12"/>
  <c r="I13" i="12"/>
  <c r="L12" i="12"/>
  <c r="K12" i="12"/>
  <c r="J12" i="12"/>
  <c r="I12" i="12"/>
  <c r="L11" i="12"/>
  <c r="K11" i="12"/>
  <c r="J11" i="12"/>
  <c r="I11" i="12"/>
  <c r="L10" i="12"/>
  <c r="K10" i="12"/>
  <c r="J10" i="12"/>
  <c r="I10" i="12"/>
  <c r="Z107" i="8"/>
  <c r="H106" i="8"/>
  <c r="H109" i="8" s="1"/>
  <c r="W91" i="8"/>
  <c r="G93" i="8" s="1"/>
  <c r="Q91" i="8"/>
  <c r="K91" i="8"/>
  <c r="E91" i="8"/>
  <c r="W72" i="8"/>
  <c r="G74" i="8" s="1"/>
  <c r="Q72" i="8"/>
  <c r="K72" i="8"/>
  <c r="E72" i="8"/>
  <c r="L72" i="6"/>
  <c r="K72" i="6"/>
  <c r="J72" i="6"/>
  <c r="I72" i="6"/>
  <c r="L71" i="6"/>
  <c r="K71" i="6"/>
  <c r="J71" i="6"/>
  <c r="I71" i="6"/>
  <c r="L70" i="6"/>
  <c r="K70" i="6"/>
  <c r="J70" i="6"/>
  <c r="I70" i="6"/>
  <c r="L69" i="6"/>
  <c r="K69" i="6"/>
  <c r="J69" i="6"/>
  <c r="I69" i="6"/>
  <c r="L68" i="6"/>
  <c r="K68" i="6"/>
  <c r="J68" i="6"/>
  <c r="I68" i="6"/>
  <c r="L67" i="6"/>
  <c r="K67" i="6"/>
  <c r="J67" i="6"/>
  <c r="I67" i="6"/>
  <c r="L66" i="6"/>
  <c r="K66" i="6"/>
  <c r="J66" i="6"/>
  <c r="I66" i="6"/>
  <c r="L65" i="6"/>
  <c r="K65" i="6"/>
  <c r="J65" i="6"/>
  <c r="I65" i="6"/>
  <c r="L64" i="6"/>
  <c r="K64" i="6"/>
  <c r="J64" i="6"/>
  <c r="I64" i="6"/>
  <c r="L63" i="6"/>
  <c r="K63" i="6"/>
  <c r="J63" i="6"/>
  <c r="I63" i="6"/>
  <c r="L62" i="6"/>
  <c r="K62" i="6"/>
  <c r="J62" i="6"/>
  <c r="I62" i="6"/>
  <c r="L61" i="6"/>
  <c r="K61" i="6"/>
  <c r="J61" i="6"/>
  <c r="I61" i="6"/>
  <c r="L60" i="6"/>
  <c r="K60" i="6"/>
  <c r="J60" i="6"/>
  <c r="I60" i="6"/>
  <c r="L59" i="6"/>
  <c r="K59" i="6"/>
  <c r="J59" i="6"/>
  <c r="I59" i="6"/>
  <c r="L58" i="6"/>
  <c r="K58" i="6"/>
  <c r="J58" i="6"/>
  <c r="I58" i="6"/>
  <c r="L57" i="6"/>
  <c r="K57" i="6"/>
  <c r="J57" i="6"/>
  <c r="I57" i="6"/>
  <c r="L56" i="6"/>
  <c r="K56" i="6"/>
  <c r="J56" i="6"/>
  <c r="I56" i="6"/>
  <c r="L55" i="6"/>
  <c r="K55" i="6"/>
  <c r="J55" i="6"/>
  <c r="I55" i="6"/>
  <c r="L54" i="6"/>
  <c r="K54" i="6"/>
  <c r="J54" i="6"/>
  <c r="I54" i="6"/>
  <c r="L53" i="6"/>
  <c r="K53" i="6"/>
  <c r="J53" i="6"/>
  <c r="I53" i="6"/>
  <c r="L52" i="6"/>
  <c r="K52" i="6"/>
  <c r="J52" i="6"/>
  <c r="I52" i="6"/>
  <c r="L51" i="6"/>
  <c r="K51" i="6"/>
  <c r="J51" i="6"/>
  <c r="I51" i="6"/>
  <c r="L50" i="6"/>
  <c r="K50" i="6"/>
  <c r="J50" i="6"/>
  <c r="I50" i="6"/>
  <c r="L49" i="6"/>
  <c r="K49" i="6"/>
  <c r="J49" i="6"/>
  <c r="I49" i="6"/>
  <c r="L48" i="6"/>
  <c r="K48" i="6"/>
  <c r="J48" i="6"/>
  <c r="I48" i="6"/>
  <c r="L47" i="6"/>
  <c r="K47" i="6"/>
  <c r="J47" i="6"/>
  <c r="I47" i="6"/>
  <c r="L46" i="6"/>
  <c r="K46" i="6"/>
  <c r="J46" i="6"/>
  <c r="I46" i="6"/>
  <c r="L45" i="6"/>
  <c r="K45" i="6"/>
  <c r="J45" i="6"/>
  <c r="I45" i="6"/>
  <c r="L44" i="6"/>
  <c r="K44" i="6"/>
  <c r="J44" i="6"/>
  <c r="I44" i="6"/>
  <c r="L43" i="6"/>
  <c r="K43" i="6"/>
  <c r="J43" i="6"/>
  <c r="I43" i="6"/>
  <c r="L42" i="6"/>
  <c r="K42" i="6"/>
  <c r="J42" i="6"/>
  <c r="I42" i="6"/>
  <c r="L41" i="6"/>
  <c r="K41" i="6"/>
  <c r="J41" i="6"/>
  <c r="I41" i="6"/>
  <c r="L40" i="6"/>
  <c r="K40" i="6"/>
  <c r="J40" i="6"/>
  <c r="I40" i="6"/>
  <c r="L39" i="6"/>
  <c r="K39" i="6"/>
  <c r="J39" i="6"/>
  <c r="I39" i="6"/>
  <c r="L38" i="6"/>
  <c r="K38" i="6"/>
  <c r="J38" i="6"/>
  <c r="I38" i="6"/>
  <c r="L37" i="6"/>
  <c r="K37" i="6"/>
  <c r="J37" i="6"/>
  <c r="I37" i="6"/>
  <c r="L36" i="6"/>
  <c r="K36" i="6"/>
  <c r="J36" i="6"/>
  <c r="I36" i="6"/>
  <c r="L35" i="6"/>
  <c r="K35" i="6"/>
  <c r="J35" i="6"/>
  <c r="I35" i="6"/>
  <c r="L34" i="6"/>
  <c r="K34" i="6"/>
  <c r="J34" i="6"/>
  <c r="I34" i="6"/>
  <c r="L33" i="6"/>
  <c r="K33" i="6"/>
  <c r="J33" i="6"/>
  <c r="I33" i="6"/>
  <c r="L32" i="6"/>
  <c r="K32" i="6"/>
  <c r="J32" i="6"/>
  <c r="I32" i="6"/>
  <c r="L31" i="6"/>
  <c r="K31" i="6"/>
  <c r="J31" i="6"/>
  <c r="I31" i="6"/>
  <c r="L30" i="6"/>
  <c r="K30" i="6"/>
  <c r="J30" i="6"/>
  <c r="I30" i="6"/>
  <c r="L29" i="6"/>
  <c r="K29" i="6"/>
  <c r="J29" i="6"/>
  <c r="I29" i="6"/>
  <c r="L28" i="6"/>
  <c r="K28" i="6"/>
  <c r="J28" i="6"/>
  <c r="I28" i="6"/>
  <c r="L27" i="6"/>
  <c r="K27" i="6"/>
  <c r="J27" i="6"/>
  <c r="I27" i="6"/>
  <c r="L26" i="6"/>
  <c r="K26" i="6"/>
  <c r="J26" i="6"/>
  <c r="I26" i="6"/>
  <c r="L25" i="6"/>
  <c r="K25" i="6"/>
  <c r="J25" i="6"/>
  <c r="I25" i="6"/>
  <c r="L24" i="6"/>
  <c r="K24" i="6"/>
  <c r="J24" i="6"/>
  <c r="I24" i="6"/>
  <c r="L23" i="6"/>
  <c r="K23" i="6"/>
  <c r="J23" i="6"/>
  <c r="I23" i="6"/>
  <c r="L22" i="6"/>
  <c r="K22" i="6"/>
  <c r="J22" i="6"/>
  <c r="I22" i="6"/>
  <c r="L21" i="6"/>
  <c r="K21" i="6"/>
  <c r="J21" i="6"/>
  <c r="I21" i="6"/>
  <c r="L20" i="6"/>
  <c r="K20" i="6"/>
  <c r="J20" i="6"/>
  <c r="I20" i="6"/>
  <c r="L19" i="6"/>
  <c r="K19" i="6"/>
  <c r="J19" i="6"/>
  <c r="I19" i="6"/>
  <c r="L18" i="6"/>
  <c r="K18" i="6"/>
  <c r="J18" i="6"/>
  <c r="I18" i="6"/>
  <c r="L17" i="6"/>
  <c r="K17" i="6"/>
  <c r="J17" i="6"/>
  <c r="I17" i="6"/>
  <c r="L16" i="6"/>
  <c r="K16" i="6"/>
  <c r="J16" i="6"/>
  <c r="I16" i="6"/>
  <c r="L15" i="6"/>
  <c r="K15" i="6"/>
  <c r="J15" i="6"/>
  <c r="I15" i="6"/>
  <c r="L14" i="6"/>
  <c r="K14" i="6"/>
  <c r="J14" i="6"/>
  <c r="I14" i="6"/>
  <c r="L13" i="6"/>
  <c r="K13" i="6"/>
  <c r="J13" i="6"/>
  <c r="I13" i="6"/>
  <c r="L12" i="6"/>
  <c r="K12" i="6"/>
  <c r="J12" i="6"/>
  <c r="I12" i="6"/>
  <c r="L11" i="6"/>
  <c r="K11" i="6"/>
  <c r="J11" i="6"/>
  <c r="I11" i="6"/>
  <c r="L10" i="6"/>
  <c r="K10" i="6"/>
  <c r="J10" i="6"/>
  <c r="I10" i="6"/>
  <c r="U18" i="5" l="1"/>
  <c r="U66" i="5"/>
  <c r="U49" i="5"/>
  <c r="U56" i="5"/>
  <c r="U20" i="5"/>
  <c r="U39" i="5"/>
  <c r="U34" i="5"/>
  <c r="U46" i="5"/>
  <c r="U17" i="5"/>
  <c r="U19" i="5"/>
  <c r="U72" i="5"/>
  <c r="U48" i="5"/>
  <c r="U43" i="5"/>
  <c r="U55" i="5"/>
  <c r="U26" i="5"/>
  <c r="U33" i="5"/>
  <c r="G99" i="8"/>
  <c r="P106" i="8" s="1"/>
  <c r="P109" i="8" s="1"/>
  <c r="G101" i="8"/>
  <c r="Z106" i="8" s="1"/>
  <c r="Z109" i="8" l="1"/>
  <c r="AE106" i="8"/>
  <c r="U106" i="8" s="1"/>
  <c r="AJ106" i="8" s="1"/>
  <c r="AE109" i="8" l="1"/>
  <c r="U109" i="8" s="1"/>
  <c r="AJ109" i="8" s="1"/>
</calcChain>
</file>

<file path=xl/sharedStrings.xml><?xml version="1.0" encoding="utf-8"?>
<sst xmlns="http://schemas.openxmlformats.org/spreadsheetml/2006/main" count="4004" uniqueCount="375">
  <si>
    <t>PYTHONPATH</t>
  </si>
  <si>
    <t>UDF Modules</t>
  </si>
  <si>
    <t>Debug UDFs</t>
  </si>
  <si>
    <t>Use UDF Server</t>
  </si>
  <si>
    <t>Instructions:</t>
  </si>
  <si>
    <t>Conda Env</t>
  </si>
  <si>
    <t>When activated, these settings override the settings in the addin (.xlwings/xlwings.conf file in the user directory) and xlwings.conf in the same directory as this Excel file.</t>
  </si>
  <si>
    <t>Conda Path</t>
  </si>
  <si>
    <t>Interpreter_Win</t>
  </si>
  <si>
    <t>Interpreter_Mac</t>
  </si>
  <si>
    <t>If you want to rely on the settings in the addin or an xlwings.conf file, you can delete this sheet.</t>
  </si>
  <si>
    <t>Rename this sheet to "xlwings.conf" to activate it.  The settings have to start in cell A1.</t>
  </si>
  <si>
    <t>If you delete a row from here, it will fall back to the first non-empty value xlwings finds in an xlwings.conf file and otherwise use the default values.</t>
  </si>
  <si>
    <t>python</t>
  </si>
  <si>
    <t>Show Console</t>
  </si>
  <si>
    <t>Projekt:</t>
  </si>
  <si>
    <t>Bauteil:</t>
  </si>
  <si>
    <t>Leistungsphase:</t>
  </si>
  <si>
    <t>Datum:</t>
  </si>
  <si>
    <t>Grundparameter</t>
  </si>
  <si>
    <t>Geometrie</t>
  </si>
  <si>
    <t>Einwirkung</t>
  </si>
  <si>
    <t>Koordinaten</t>
  </si>
  <si>
    <t>Pos.</t>
  </si>
  <si>
    <t>Geschoss</t>
  </si>
  <si>
    <t>Form</t>
  </si>
  <si>
    <t>Lage</t>
  </si>
  <si>
    <t>Typ</t>
  </si>
  <si>
    <t>Material</t>
  </si>
  <si>
    <t>L</t>
  </si>
  <si>
    <t>b</t>
  </si>
  <si>
    <t>h</t>
  </si>
  <si>
    <t>Ned</t>
  </si>
  <si>
    <r>
      <t>H</t>
    </r>
    <r>
      <rPr>
        <vertAlign val="subscript"/>
        <sz val="11"/>
        <color theme="1"/>
        <rFont val="Calibri"/>
        <family val="2"/>
        <scheme val="minor"/>
      </rPr>
      <t>ed</t>
    </r>
  </si>
  <si>
    <t>Myd</t>
  </si>
  <si>
    <t>Mzd</t>
  </si>
  <si>
    <t>x</t>
  </si>
  <si>
    <t>y</t>
  </si>
  <si>
    <t>Winkel</t>
  </si>
  <si>
    <t>-</t>
  </si>
  <si>
    <t>[m]</t>
  </si>
  <si>
    <t>[kN]</t>
  </si>
  <si>
    <t>[kN/m]</t>
  </si>
  <si>
    <t>[kNm]</t>
  </si>
  <si>
    <t>[gr]</t>
  </si>
  <si>
    <t>S-201</t>
  </si>
  <si>
    <t>EG</t>
  </si>
  <si>
    <t>rund</t>
  </si>
  <si>
    <t>intern</t>
  </si>
  <si>
    <t>Innenstütze</t>
  </si>
  <si>
    <t>S-202</t>
  </si>
  <si>
    <t>S-203</t>
  </si>
  <si>
    <t>S-204</t>
  </si>
  <si>
    <t>S-205</t>
  </si>
  <si>
    <t>S-206</t>
  </si>
  <si>
    <t>rechteckig</t>
  </si>
  <si>
    <t>S-207</t>
  </si>
  <si>
    <t>S-208</t>
  </si>
  <si>
    <t>S-209</t>
  </si>
  <si>
    <t>S-210</t>
  </si>
  <si>
    <t>S-211</t>
  </si>
  <si>
    <t>S-212</t>
  </si>
  <si>
    <t>S-213</t>
  </si>
  <si>
    <t>S-214</t>
  </si>
  <si>
    <t>S-215</t>
  </si>
  <si>
    <t>S-216</t>
  </si>
  <si>
    <t>S-217</t>
  </si>
  <si>
    <t>S-218</t>
  </si>
  <si>
    <t>S-219</t>
  </si>
  <si>
    <t>S-220</t>
  </si>
  <si>
    <t>S-221</t>
  </si>
  <si>
    <t>S-222</t>
  </si>
  <si>
    <t>S-223</t>
  </si>
  <si>
    <t>S-224</t>
  </si>
  <si>
    <t>S-225</t>
  </si>
  <si>
    <t>S-226</t>
  </si>
  <si>
    <t>S-227</t>
  </si>
  <si>
    <t>S-228</t>
  </si>
  <si>
    <t>S-229</t>
  </si>
  <si>
    <t>S-230</t>
  </si>
  <si>
    <t>S-231</t>
  </si>
  <si>
    <t>S-232</t>
  </si>
  <si>
    <t>S-233</t>
  </si>
  <si>
    <t>S-234</t>
  </si>
  <si>
    <t>S-235</t>
  </si>
  <si>
    <t>S-236</t>
  </si>
  <si>
    <t>S-237</t>
  </si>
  <si>
    <t>S-238</t>
  </si>
  <si>
    <t>S-239</t>
  </si>
  <si>
    <t>S-240</t>
  </si>
  <si>
    <t>S-241</t>
  </si>
  <si>
    <t>S-242</t>
  </si>
  <si>
    <t>S-243</t>
  </si>
  <si>
    <t>S-244</t>
  </si>
  <si>
    <t>S-245</t>
  </si>
  <si>
    <t>S-246</t>
  </si>
  <si>
    <t>S-247</t>
  </si>
  <si>
    <t>S-248</t>
  </si>
  <si>
    <t>S-249</t>
  </si>
  <si>
    <t>S-250</t>
  </si>
  <si>
    <t>S-251</t>
  </si>
  <si>
    <t>S-252</t>
  </si>
  <si>
    <t>S-253</t>
  </si>
  <si>
    <t>S-254</t>
  </si>
  <si>
    <t>S-255</t>
  </si>
  <si>
    <t>S-256</t>
  </si>
  <si>
    <t>S-257</t>
  </si>
  <si>
    <t>S-258</t>
  </si>
  <si>
    <t>S-259</t>
  </si>
  <si>
    <t>S-260</t>
  </si>
  <si>
    <t>S-261</t>
  </si>
  <si>
    <t>S-262</t>
  </si>
  <si>
    <t>S-263</t>
  </si>
  <si>
    <t>1.OG</t>
  </si>
  <si>
    <t>2.OG</t>
  </si>
  <si>
    <t/>
  </si>
  <si>
    <t>TEST</t>
  </si>
  <si>
    <t>DIN EN 1995-1-1</t>
  </si>
  <si>
    <t>Abs. 6.3.1 (1)</t>
  </si>
  <si>
    <t>Eingansparameter</t>
  </si>
  <si>
    <t>Festigkeitswerte</t>
  </si>
  <si>
    <t>System</t>
  </si>
  <si>
    <t>Belastung</t>
  </si>
  <si>
    <t>Stabilität</t>
  </si>
  <si>
    <t>Länge</t>
  </si>
  <si>
    <t>Breite</t>
  </si>
  <si>
    <t>Höhe</t>
  </si>
  <si>
    <r>
      <t>N</t>
    </r>
    <r>
      <rPr>
        <vertAlign val="subscript"/>
        <sz val="11"/>
        <color theme="1"/>
        <rFont val="Calibri"/>
        <family val="2"/>
        <scheme val="minor"/>
      </rPr>
      <t>ed</t>
    </r>
  </si>
  <si>
    <r>
      <t>M</t>
    </r>
    <r>
      <rPr>
        <vertAlign val="subscript"/>
        <sz val="11"/>
        <color theme="1"/>
        <rFont val="Calibri"/>
        <family val="2"/>
        <scheme val="minor"/>
      </rPr>
      <t>yd</t>
    </r>
  </si>
  <si>
    <r>
      <t>M</t>
    </r>
    <r>
      <rPr>
        <vertAlign val="subscript"/>
        <sz val="11"/>
        <color theme="1"/>
        <rFont val="Calibri"/>
        <family val="2"/>
        <scheme val="minor"/>
      </rPr>
      <t>zd</t>
    </r>
  </si>
  <si>
    <t>λ</t>
  </si>
  <si>
    <r>
      <t>σ</t>
    </r>
    <r>
      <rPr>
        <vertAlign val="subscript"/>
        <sz val="11"/>
        <color theme="1"/>
        <rFont val="Calibri"/>
        <family val="2"/>
        <scheme val="minor"/>
      </rPr>
      <t>myd</t>
    </r>
  </si>
  <si>
    <t>[N/mm²]</t>
  </si>
  <si>
    <t>[mm]</t>
  </si>
  <si>
    <t>[kN/m²]</t>
  </si>
  <si>
    <t>[%]</t>
  </si>
  <si>
    <t>Pendelstütze</t>
  </si>
  <si>
    <t>Theorie II</t>
  </si>
  <si>
    <t>FEM</t>
  </si>
  <si>
    <t>Ausnutzung - Iteration i</t>
  </si>
  <si>
    <t>Festigkeit - Iteration i</t>
  </si>
  <si>
    <t>Querschnitt - Iteration i</t>
  </si>
  <si>
    <t>Holzart</t>
  </si>
  <si>
    <r>
      <t>f</t>
    </r>
    <r>
      <rPr>
        <vertAlign val="subscript"/>
        <sz val="11"/>
        <color theme="1"/>
        <rFont val="Calibri"/>
        <family val="2"/>
        <scheme val="minor"/>
      </rPr>
      <t xml:space="preserve">c,0,k </t>
    </r>
  </si>
  <si>
    <r>
      <t>f</t>
    </r>
    <r>
      <rPr>
        <vertAlign val="subscript"/>
        <sz val="11"/>
        <color theme="1"/>
        <rFont val="Calibri"/>
        <family val="2"/>
        <scheme val="minor"/>
      </rPr>
      <t>m,k</t>
    </r>
  </si>
  <si>
    <r>
      <t>E</t>
    </r>
    <r>
      <rPr>
        <vertAlign val="subscript"/>
        <sz val="11"/>
        <color theme="1"/>
        <rFont val="Calibri"/>
        <family val="2"/>
        <scheme val="minor"/>
      </rPr>
      <t>0,mean</t>
    </r>
  </si>
  <si>
    <r>
      <t>E</t>
    </r>
    <r>
      <rPr>
        <vertAlign val="subscript"/>
        <sz val="11"/>
        <color theme="1"/>
        <rFont val="Calibri"/>
        <family val="2"/>
        <scheme val="minor"/>
      </rPr>
      <t>0,05</t>
    </r>
  </si>
  <si>
    <t>NKL</t>
  </si>
  <si>
    <t>Dauer</t>
  </si>
  <si>
    <r>
      <t>k</t>
    </r>
    <r>
      <rPr>
        <vertAlign val="subscript"/>
        <sz val="11"/>
        <color theme="1"/>
        <rFont val="Calibri"/>
        <family val="2"/>
        <scheme val="minor"/>
      </rPr>
      <t>mod</t>
    </r>
  </si>
  <si>
    <t>γ</t>
  </si>
  <si>
    <r>
      <t>λ</t>
    </r>
    <r>
      <rPr>
        <vertAlign val="subscript"/>
        <sz val="11"/>
        <color theme="1"/>
        <rFont val="Calibri"/>
        <family val="2"/>
        <scheme val="minor"/>
      </rPr>
      <t>rel</t>
    </r>
  </si>
  <si>
    <r>
      <t>k</t>
    </r>
    <r>
      <rPr>
        <vertAlign val="subscript"/>
        <sz val="11"/>
        <color theme="1"/>
        <rFont val="Calibri"/>
        <family val="2"/>
        <scheme val="minor"/>
      </rPr>
      <t>c</t>
    </r>
  </si>
  <si>
    <r>
      <t>δ</t>
    </r>
    <r>
      <rPr>
        <vertAlign val="subscript"/>
        <sz val="11"/>
        <color theme="1"/>
        <rFont val="Calibri"/>
        <family val="2"/>
        <scheme val="minor"/>
      </rPr>
      <t>0</t>
    </r>
  </si>
  <si>
    <r>
      <t>σ</t>
    </r>
    <r>
      <rPr>
        <vertAlign val="subscript"/>
        <sz val="11"/>
        <color theme="1"/>
        <rFont val="Calibri"/>
        <family val="2"/>
        <scheme val="minor"/>
      </rPr>
      <t>cd</t>
    </r>
  </si>
  <si>
    <r>
      <t>δ</t>
    </r>
    <r>
      <rPr>
        <vertAlign val="subscript"/>
        <sz val="11"/>
        <color theme="1"/>
        <rFont val="Calibri"/>
        <family val="2"/>
        <scheme val="minor"/>
      </rPr>
      <t>I_y</t>
    </r>
  </si>
  <si>
    <r>
      <t>M</t>
    </r>
    <r>
      <rPr>
        <vertAlign val="subscript"/>
        <sz val="11"/>
        <color theme="1"/>
        <rFont val="Calibri"/>
        <family val="2"/>
        <scheme val="minor"/>
      </rPr>
      <t>I_y</t>
    </r>
  </si>
  <si>
    <r>
      <t>δ</t>
    </r>
    <r>
      <rPr>
        <vertAlign val="subscript"/>
        <sz val="11"/>
        <color theme="1"/>
        <rFont val="Calibri"/>
        <family val="2"/>
        <scheme val="minor"/>
      </rPr>
      <t>II_y</t>
    </r>
  </si>
  <si>
    <r>
      <t>M</t>
    </r>
    <r>
      <rPr>
        <vertAlign val="subscript"/>
        <sz val="11"/>
        <color theme="1"/>
        <rFont val="Calibri"/>
        <family val="2"/>
        <scheme val="minor"/>
      </rPr>
      <t>II_y</t>
    </r>
  </si>
  <si>
    <r>
      <t>δ</t>
    </r>
    <r>
      <rPr>
        <vertAlign val="subscript"/>
        <sz val="11"/>
        <color theme="1"/>
        <rFont val="Calibri"/>
        <family val="2"/>
        <scheme val="minor"/>
      </rPr>
      <t>I_z</t>
    </r>
  </si>
  <si>
    <r>
      <t>M</t>
    </r>
    <r>
      <rPr>
        <vertAlign val="subscript"/>
        <sz val="11"/>
        <color theme="1"/>
        <rFont val="Calibri"/>
        <family val="2"/>
        <scheme val="minor"/>
      </rPr>
      <t>I_z</t>
    </r>
  </si>
  <si>
    <r>
      <t>δ</t>
    </r>
    <r>
      <rPr>
        <vertAlign val="subscript"/>
        <sz val="11"/>
        <color theme="1"/>
        <rFont val="Calibri"/>
        <family val="2"/>
        <scheme val="minor"/>
      </rPr>
      <t>II_z</t>
    </r>
  </si>
  <si>
    <r>
      <t>M</t>
    </r>
    <r>
      <rPr>
        <vertAlign val="subscript"/>
        <sz val="11"/>
        <color theme="1"/>
        <rFont val="Calibri"/>
        <family val="2"/>
        <scheme val="minor"/>
      </rPr>
      <t>II_z</t>
    </r>
  </si>
  <si>
    <t>i=1</t>
  </si>
  <si>
    <t>i=2</t>
  </si>
  <si>
    <t>i=3</t>
  </si>
  <si>
    <t>i=4</t>
  </si>
  <si>
    <t>i=5</t>
  </si>
  <si>
    <t>Status</t>
  </si>
  <si>
    <t>Holz</t>
  </si>
  <si>
    <t>GL 28h</t>
  </si>
  <si>
    <t>lang</t>
  </si>
  <si>
    <t>fertig</t>
  </si>
  <si>
    <t>GL 24c</t>
  </si>
  <si>
    <t>Grenze</t>
  </si>
  <si>
    <t>Geschoss:</t>
  </si>
  <si>
    <r>
      <t>η</t>
    </r>
    <r>
      <rPr>
        <vertAlign val="subscript"/>
        <sz val="11"/>
        <color theme="1"/>
        <rFont val="Calibri"/>
        <family val="2"/>
        <scheme val="minor"/>
      </rPr>
      <t>_max</t>
    </r>
  </si>
  <si>
    <t>GL 24h</t>
  </si>
  <si>
    <t>η</t>
  </si>
  <si>
    <t>Projektdaten</t>
  </si>
  <si>
    <t>Position:</t>
  </si>
  <si>
    <t>DIN EN 1995-1-1: 6.3 Stabilität von Bauteilen</t>
  </si>
  <si>
    <t xml:space="preserve">6.3.1 Allgemeines </t>
  </si>
  <si>
    <t xml:space="preserve">(1) Die Biegespannungen infolge spannungsloser Vorverformungen und Anfangskrümmungen, 
Ausmittigkeiten und eingeprägter Durchbiegungen sind zusätzlich zu solchen infolge Querlasten zu 
berücksichtigen. </t>
  </si>
  <si>
    <t xml:space="preserve">(2) Knicknachweise und Biegedrillknicknachweise sind unter Verwendung der charakteristischen 
Eigenschaften, z. B. E0,05, nachzuweisen. </t>
  </si>
  <si>
    <t xml:space="preserve">(3) Die Stabilität von durch Druck oder Druck und Biegung beanspruchten Stützen sollte nach 6.3.2 
nachgewiesen werden (Biegeknicken). </t>
  </si>
  <si>
    <t>=</t>
  </si>
  <si>
    <t>kN</t>
  </si>
  <si>
    <t>kNm</t>
  </si>
  <si>
    <t>m</t>
  </si>
  <si>
    <t>²</t>
  </si>
  <si>
    <t>w</t>
  </si>
  <si>
    <t>m³</t>
  </si>
  <si>
    <t>A</t>
  </si>
  <si>
    <t>m²</t>
  </si>
  <si>
    <t>³</t>
  </si>
  <si>
    <t>I</t>
  </si>
  <si>
    <t>m⁴</t>
  </si>
  <si>
    <t>β</t>
  </si>
  <si>
    <t>i</t>
  </si>
  <si>
    <t>Querschnittswerte</t>
  </si>
  <si>
    <t>E</t>
  </si>
  <si>
    <t>kN/m²</t>
  </si>
  <si>
    <t>6.3.2 Biegeknicken von Druckstäben</t>
  </si>
  <si>
    <t>⇒</t>
  </si>
  <si>
    <t>ky</t>
  </si>
  <si>
    <t>mit</t>
  </si>
  <si>
    <t>kc</t>
  </si>
  <si>
    <t>Anfangskrümmung</t>
  </si>
  <si>
    <t>θ</t>
  </si>
  <si>
    <t>e0</t>
  </si>
  <si>
    <t>*</t>
  </si>
  <si>
    <t>M0</t>
  </si>
  <si>
    <t>Momentenermittlung nach Theorie II</t>
  </si>
  <si>
    <t>Iteration um die y-Achse</t>
  </si>
  <si>
    <t>und</t>
  </si>
  <si>
    <t>ei</t>
  </si>
  <si>
    <t>Mi</t>
  </si>
  <si>
    <t>e</t>
  </si>
  <si>
    <t>mm</t>
  </si>
  <si>
    <t>SUM</t>
  </si>
  <si>
    <t>Iteration um die z-Achse</t>
  </si>
  <si>
    <r>
      <t>σ</t>
    </r>
    <r>
      <rPr>
        <vertAlign val="subscript"/>
        <sz val="11"/>
        <color theme="1"/>
        <rFont val="Calibri"/>
        <family val="2"/>
        <scheme val="minor"/>
      </rPr>
      <t>mzd</t>
    </r>
  </si>
  <si>
    <t>Spannungen</t>
  </si>
  <si>
    <r>
      <t>σ</t>
    </r>
    <r>
      <rPr>
        <vertAlign val="subscript"/>
        <sz val="11"/>
        <color theme="1"/>
        <rFont val="Calibri"/>
        <family val="2"/>
        <scheme val="minor"/>
      </rPr>
      <t>max</t>
    </r>
  </si>
  <si>
    <r>
      <t>σ</t>
    </r>
    <r>
      <rPr>
        <vertAlign val="subscript"/>
        <sz val="11"/>
        <color theme="1"/>
        <rFont val="Calibri"/>
        <family val="2"/>
        <scheme val="minor"/>
      </rPr>
      <t>min</t>
    </r>
  </si>
  <si>
    <t>Nachweis</t>
  </si>
  <si>
    <t xml:space="preserve">(2) Sind sowohl λ rel,z ≤ 0,3 als auch λ rel,y ≤ 0,3, dann sollten für die Spannungen die Bedingungen (6.19) und (6.20) in 6.2.4 erfüllt sein. </t>
  </si>
  <si>
    <t>Gl. (6.19)</t>
  </si>
  <si>
    <t>(</t>
  </si>
  <si>
    <t>)</t>
  </si>
  <si>
    <t>+</t>
  </si>
  <si>
    <t>Gl. (6.23)</t>
  </si>
  <si>
    <r>
      <t>f</t>
    </r>
    <r>
      <rPr>
        <vertAlign val="subscript"/>
        <sz val="11"/>
        <rFont val="Calibri"/>
        <family val="2"/>
        <scheme val="minor"/>
      </rPr>
      <t>m,k</t>
    </r>
    <r>
      <rPr>
        <sz val="11"/>
        <rFont val="Calibri"/>
        <family val="2"/>
        <scheme val="minor"/>
      </rPr>
      <t xml:space="preserve"> [N/mm²]</t>
    </r>
  </si>
  <si>
    <r>
      <t>f</t>
    </r>
    <r>
      <rPr>
        <vertAlign val="subscript"/>
        <sz val="11"/>
        <rFont val="Calibri"/>
        <family val="2"/>
        <scheme val="minor"/>
      </rPr>
      <t>t,0,k</t>
    </r>
    <r>
      <rPr>
        <sz val="11"/>
        <rFont val="Calibri"/>
        <family val="2"/>
        <scheme val="minor"/>
      </rPr>
      <t xml:space="preserve"> [N/mm²]</t>
    </r>
  </si>
  <si>
    <r>
      <t>f</t>
    </r>
    <r>
      <rPr>
        <vertAlign val="subscript"/>
        <sz val="11"/>
        <rFont val="Calibri"/>
        <family val="2"/>
        <scheme val="minor"/>
      </rPr>
      <t>t,90,k</t>
    </r>
    <r>
      <rPr>
        <sz val="11"/>
        <rFont val="Calibri"/>
        <family val="2"/>
        <scheme val="minor"/>
      </rPr>
      <t xml:space="preserve"> [N/mm²]</t>
    </r>
  </si>
  <si>
    <r>
      <t>f</t>
    </r>
    <r>
      <rPr>
        <vertAlign val="subscript"/>
        <sz val="11"/>
        <rFont val="Calibri"/>
        <family val="2"/>
        <scheme val="minor"/>
      </rPr>
      <t>c,0,k</t>
    </r>
    <r>
      <rPr>
        <sz val="11"/>
        <rFont val="Calibri"/>
        <family val="2"/>
        <scheme val="minor"/>
      </rPr>
      <t xml:space="preserve"> [N/mm²]</t>
    </r>
  </si>
  <si>
    <r>
      <t>f</t>
    </r>
    <r>
      <rPr>
        <vertAlign val="subscript"/>
        <sz val="11"/>
        <rFont val="Calibri"/>
        <family val="2"/>
        <scheme val="minor"/>
      </rPr>
      <t xml:space="preserve">c,90,k </t>
    </r>
    <r>
      <rPr>
        <sz val="11"/>
        <rFont val="Calibri"/>
        <family val="2"/>
        <scheme val="minor"/>
      </rPr>
      <t>[N/mm²]</t>
    </r>
  </si>
  <si>
    <r>
      <t>f</t>
    </r>
    <r>
      <rPr>
        <vertAlign val="subscript"/>
        <sz val="11"/>
        <rFont val="Calibri"/>
        <family val="2"/>
        <scheme val="minor"/>
      </rPr>
      <t xml:space="preserve">v,k </t>
    </r>
    <r>
      <rPr>
        <sz val="11"/>
        <rFont val="Calibri"/>
        <family val="2"/>
        <scheme val="minor"/>
      </rPr>
      <t>[N/mm²]</t>
    </r>
  </si>
  <si>
    <r>
      <t>E</t>
    </r>
    <r>
      <rPr>
        <vertAlign val="subscript"/>
        <sz val="11"/>
        <rFont val="Calibri"/>
        <family val="2"/>
        <scheme val="minor"/>
      </rPr>
      <t>0,mean</t>
    </r>
    <r>
      <rPr>
        <sz val="11"/>
        <rFont val="Calibri"/>
        <family val="2"/>
        <scheme val="minor"/>
      </rPr>
      <t xml:space="preserve"> [N/mm²]</t>
    </r>
  </si>
  <si>
    <r>
      <t>E</t>
    </r>
    <r>
      <rPr>
        <vertAlign val="subscript"/>
        <sz val="11"/>
        <rFont val="Calibri"/>
        <family val="2"/>
        <scheme val="minor"/>
      </rPr>
      <t>0,05</t>
    </r>
    <r>
      <rPr>
        <sz val="11"/>
        <rFont val="Calibri"/>
        <family val="2"/>
        <scheme val="minor"/>
      </rPr>
      <t xml:space="preserve"> [N/mm²]</t>
    </r>
  </si>
  <si>
    <r>
      <t>E</t>
    </r>
    <r>
      <rPr>
        <vertAlign val="subscript"/>
        <sz val="11"/>
        <rFont val="Calibri"/>
        <family val="2"/>
        <scheme val="minor"/>
      </rPr>
      <t xml:space="preserve">90,mean </t>
    </r>
    <r>
      <rPr>
        <sz val="11"/>
        <rFont val="Calibri"/>
        <family val="2"/>
        <scheme val="minor"/>
      </rPr>
      <t>[N/mm²]</t>
    </r>
  </si>
  <si>
    <r>
      <t>G</t>
    </r>
    <r>
      <rPr>
        <vertAlign val="subscript"/>
        <sz val="11"/>
        <rFont val="Calibri"/>
        <family val="2"/>
        <scheme val="minor"/>
      </rPr>
      <t>mean</t>
    </r>
    <r>
      <rPr>
        <sz val="11"/>
        <rFont val="Calibri"/>
        <family val="2"/>
        <scheme val="minor"/>
      </rPr>
      <t xml:space="preserve"> [N/mm²]</t>
    </r>
  </si>
  <si>
    <r>
      <t>G</t>
    </r>
    <r>
      <rPr>
        <vertAlign val="subscript"/>
        <sz val="11"/>
        <rFont val="Calibri"/>
        <family val="2"/>
        <scheme val="minor"/>
      </rPr>
      <t xml:space="preserve">0,05 </t>
    </r>
    <r>
      <rPr>
        <sz val="11"/>
        <rFont val="Calibri"/>
        <family val="2"/>
        <scheme val="minor"/>
      </rPr>
      <t>[N/mm²]</t>
    </r>
  </si>
  <si>
    <r>
      <t>ρ</t>
    </r>
    <r>
      <rPr>
        <vertAlign val="subscript"/>
        <sz val="11"/>
        <rFont val="Calibri"/>
        <family val="2"/>
        <scheme val="minor"/>
      </rPr>
      <t>k</t>
    </r>
    <r>
      <rPr>
        <sz val="11"/>
        <rFont val="Calibri"/>
        <family val="2"/>
        <scheme val="minor"/>
      </rPr>
      <t xml:space="preserve"> [kg/m³]</t>
    </r>
  </si>
  <si>
    <r>
      <t>ρ</t>
    </r>
    <r>
      <rPr>
        <vertAlign val="subscript"/>
        <sz val="11"/>
        <rFont val="Calibri"/>
        <family val="2"/>
        <scheme val="minor"/>
      </rPr>
      <t>mean</t>
    </r>
    <r>
      <rPr>
        <sz val="11"/>
        <rFont val="Calibri"/>
        <family val="2"/>
        <scheme val="minor"/>
      </rPr>
      <t xml:space="preserve"> [kg/m³]</t>
    </r>
  </si>
  <si>
    <t>GL 28c</t>
  </si>
  <si>
    <t>GL 32h</t>
  </si>
  <si>
    <t>GL 32c</t>
  </si>
  <si>
    <t>GL 36h</t>
  </si>
  <si>
    <t>GL 36c</t>
  </si>
  <si>
    <t>UG</t>
  </si>
  <si>
    <t>Eingespannt (b)</t>
  </si>
  <si>
    <t>Eingespannt (u)</t>
  </si>
  <si>
    <t>Eingespannt (o)</t>
  </si>
  <si>
    <t>n. fertig</t>
  </si>
  <si>
    <t>Parameter</t>
  </si>
  <si>
    <t>Projekt</t>
  </si>
  <si>
    <t>Leistungsphase</t>
  </si>
  <si>
    <t>LP3</t>
  </si>
  <si>
    <t>Thesis M-KHI</t>
  </si>
  <si>
    <t>Gruppierung</t>
  </si>
  <si>
    <t>Allgemeines</t>
  </si>
  <si>
    <t>Default</t>
  </si>
  <si>
    <t>Positionen</t>
  </si>
  <si>
    <t>Biegeknicken von Druckstäben</t>
  </si>
  <si>
    <t>nach DIN EN 1995-1-1 Abs. 6.3</t>
  </si>
  <si>
    <t>oben</t>
  </si>
  <si>
    <t>unten</t>
  </si>
  <si>
    <t>Parameter 1: Festigkeit</t>
  </si>
  <si>
    <t>Parameter 2: Querschnitt</t>
  </si>
  <si>
    <t>Optimierung der Ausnutzung</t>
  </si>
  <si>
    <r>
      <t>η</t>
    </r>
    <r>
      <rPr>
        <b/>
        <vertAlign val="subscript"/>
        <sz val="11"/>
        <color theme="1"/>
        <rFont val="Calibri"/>
        <family val="2"/>
        <scheme val="minor"/>
      </rPr>
      <t>_Th.2</t>
    </r>
  </si>
  <si>
    <r>
      <t>η</t>
    </r>
    <r>
      <rPr>
        <b/>
        <vertAlign val="subscript"/>
        <sz val="11"/>
        <color theme="1"/>
        <rFont val="Calibri"/>
        <family val="2"/>
        <scheme val="minor"/>
      </rPr>
      <t>_Th.1</t>
    </r>
  </si>
  <si>
    <r>
      <t>η</t>
    </r>
    <r>
      <rPr>
        <b/>
        <vertAlign val="subscript"/>
        <sz val="11"/>
        <color theme="1"/>
        <rFont val="Calibri"/>
        <family val="2"/>
        <scheme val="minor"/>
      </rPr>
      <t>_FE</t>
    </r>
  </si>
  <si>
    <r>
      <t xml:space="preserve">Biegespannung nach </t>
    </r>
    <r>
      <rPr>
        <b/>
        <sz val="11"/>
        <color theme="1"/>
        <rFont val="Calibri"/>
        <family val="2"/>
        <scheme val="minor"/>
      </rPr>
      <t>Theorie I. Ordnung</t>
    </r>
  </si>
  <si>
    <r>
      <t>Biegespannung nach</t>
    </r>
    <r>
      <rPr>
        <b/>
        <sz val="11"/>
        <color theme="1"/>
        <rFont val="Calibri"/>
        <family val="2"/>
        <scheme val="minor"/>
      </rPr>
      <t xml:space="preserve"> Theorie II. Ordnung</t>
    </r>
  </si>
  <si>
    <t>Stabwerksberechnung</t>
  </si>
  <si>
    <t>Nichtlineare Geometrie</t>
  </si>
  <si>
    <t>Stützenbemessung nach DIN EN 1995-1-1</t>
  </si>
  <si>
    <t>Gruppierung der Lasten</t>
  </si>
  <si>
    <t>Güte</t>
  </si>
  <si>
    <t>3.OG</t>
  </si>
  <si>
    <t>steps</t>
  </si>
  <si>
    <t>abgeschlossen</t>
  </si>
  <si>
    <t>Dokumentation</t>
  </si>
  <si>
    <t>Stützenbemessung 
nach DIN EN 1995-1-1</t>
  </si>
  <si>
    <t>Ersatzstabverfahren</t>
  </si>
  <si>
    <t>Eingabeparameter</t>
  </si>
  <si>
    <t>Kragstütze</t>
  </si>
  <si>
    <t>Komm.</t>
  </si>
  <si>
    <t>Optimierungsparameter</t>
  </si>
  <si>
    <t>Darstellung</t>
  </si>
  <si>
    <t>Bearbeiter*in</t>
  </si>
  <si>
    <t>CM</t>
  </si>
  <si>
    <t>Allgemein</t>
  </si>
  <si>
    <t>Bemessung</t>
  </si>
  <si>
    <t>Theorie II. Ordnung</t>
  </si>
  <si>
    <t>Aufrunden</t>
  </si>
  <si>
    <t>Optimieren</t>
  </si>
  <si>
    <t>ESV</t>
  </si>
  <si>
    <t>E-Modul</t>
  </si>
  <si>
    <t>E_0mean</t>
  </si>
  <si>
    <t>E_05</t>
  </si>
  <si>
    <t>Kn</t>
  </si>
  <si>
    <t>/</t>
  </si>
  <si>
    <t>Stützenpositionen</t>
  </si>
  <si>
    <t>Kn/Ki</t>
  </si>
  <si>
    <r>
      <t>N</t>
    </r>
    <r>
      <rPr>
        <vertAlign val="subscript"/>
        <sz val="12"/>
        <color theme="1"/>
        <rFont val="Calibri"/>
        <family val="2"/>
        <scheme val="minor"/>
      </rPr>
      <t>ed</t>
    </r>
  </si>
  <si>
    <r>
      <t>M</t>
    </r>
    <r>
      <rPr>
        <vertAlign val="subscript"/>
        <sz val="12"/>
        <color theme="1"/>
        <rFont val="Calibri"/>
        <family val="2"/>
        <scheme val="minor"/>
      </rPr>
      <t>yd</t>
    </r>
  </si>
  <si>
    <r>
      <t>M</t>
    </r>
    <r>
      <rPr>
        <vertAlign val="subscript"/>
        <sz val="12"/>
        <color theme="1"/>
        <rFont val="Calibri"/>
        <family val="2"/>
        <scheme val="minor"/>
      </rPr>
      <t>zd</t>
    </r>
  </si>
  <si>
    <r>
      <t>f</t>
    </r>
    <r>
      <rPr>
        <vertAlign val="subscript"/>
        <sz val="12"/>
        <color theme="1"/>
        <rFont val="Calibri"/>
        <family val="2"/>
        <scheme val="minor"/>
      </rPr>
      <t xml:space="preserve">c,0,k </t>
    </r>
  </si>
  <si>
    <r>
      <t>f</t>
    </r>
    <r>
      <rPr>
        <vertAlign val="subscript"/>
        <sz val="12"/>
        <color theme="1"/>
        <rFont val="Calibri"/>
        <family val="2"/>
        <scheme val="minor"/>
      </rPr>
      <t>m,k</t>
    </r>
  </si>
  <si>
    <r>
      <t>E</t>
    </r>
    <r>
      <rPr>
        <vertAlign val="subscript"/>
        <sz val="12"/>
        <color theme="1"/>
        <rFont val="Calibri"/>
        <family val="2"/>
        <scheme val="minor"/>
      </rPr>
      <t>0,mean</t>
    </r>
  </si>
  <si>
    <r>
      <t>E</t>
    </r>
    <r>
      <rPr>
        <vertAlign val="subscript"/>
        <sz val="12"/>
        <color theme="1"/>
        <rFont val="Calibri"/>
        <family val="2"/>
        <scheme val="minor"/>
      </rPr>
      <t>0,05</t>
    </r>
  </si>
  <si>
    <r>
      <t>G</t>
    </r>
    <r>
      <rPr>
        <vertAlign val="subscript"/>
        <sz val="12"/>
        <color theme="1"/>
        <rFont val="Calibri"/>
        <family val="2"/>
        <scheme val="minor"/>
      </rPr>
      <t>0,05</t>
    </r>
  </si>
  <si>
    <r>
      <t>k</t>
    </r>
    <r>
      <rPr>
        <vertAlign val="subscript"/>
        <sz val="12"/>
        <color theme="1"/>
        <rFont val="Calibri"/>
        <family val="2"/>
        <scheme val="minor"/>
      </rPr>
      <t>mod</t>
    </r>
  </si>
  <si>
    <r>
      <t>λ</t>
    </r>
    <r>
      <rPr>
        <vertAlign val="subscript"/>
        <sz val="12"/>
        <color theme="1"/>
        <rFont val="Calibri"/>
        <family val="2"/>
        <scheme val="minor"/>
      </rPr>
      <t>rel</t>
    </r>
  </si>
  <si>
    <r>
      <t>k</t>
    </r>
    <r>
      <rPr>
        <vertAlign val="subscript"/>
        <sz val="12"/>
        <color theme="1"/>
        <rFont val="Calibri"/>
        <family val="2"/>
        <scheme val="minor"/>
      </rPr>
      <t>c</t>
    </r>
  </si>
  <si>
    <r>
      <t>k</t>
    </r>
    <r>
      <rPr>
        <vertAlign val="subscript"/>
        <sz val="12"/>
        <color theme="1"/>
        <rFont val="Calibri"/>
        <family val="2"/>
        <scheme val="minor"/>
      </rPr>
      <t>crit</t>
    </r>
  </si>
  <si>
    <r>
      <t>σ</t>
    </r>
    <r>
      <rPr>
        <vertAlign val="subscript"/>
        <sz val="12"/>
        <color theme="1"/>
        <rFont val="Calibri"/>
        <family val="2"/>
        <scheme val="minor"/>
      </rPr>
      <t>cd</t>
    </r>
  </si>
  <si>
    <r>
      <t>σ</t>
    </r>
    <r>
      <rPr>
        <vertAlign val="subscript"/>
        <sz val="12"/>
        <color theme="1"/>
        <rFont val="Calibri"/>
        <family val="2"/>
        <scheme val="minor"/>
      </rPr>
      <t>myd</t>
    </r>
  </si>
  <si>
    <r>
      <t>σ</t>
    </r>
    <r>
      <rPr>
        <vertAlign val="subscript"/>
        <sz val="12"/>
        <color theme="1"/>
        <rFont val="Calibri"/>
        <family val="2"/>
        <scheme val="minor"/>
      </rPr>
      <t>mzd</t>
    </r>
  </si>
  <si>
    <r>
      <t>η</t>
    </r>
    <r>
      <rPr>
        <b/>
        <vertAlign val="subscript"/>
        <sz val="12"/>
        <color theme="1"/>
        <rFont val="Calibri"/>
        <family val="2"/>
        <scheme val="minor"/>
      </rPr>
      <t>_Th.1</t>
    </r>
  </si>
  <si>
    <r>
      <t>e</t>
    </r>
    <r>
      <rPr>
        <vertAlign val="subscript"/>
        <sz val="12"/>
        <color theme="1"/>
        <rFont val="Calibri"/>
        <family val="2"/>
        <scheme val="minor"/>
      </rPr>
      <t>I_y</t>
    </r>
  </si>
  <si>
    <r>
      <t>M</t>
    </r>
    <r>
      <rPr>
        <vertAlign val="subscript"/>
        <sz val="12"/>
        <color theme="1"/>
        <rFont val="Calibri"/>
        <family val="2"/>
        <scheme val="minor"/>
      </rPr>
      <t>I_y</t>
    </r>
  </si>
  <si>
    <r>
      <t>e</t>
    </r>
    <r>
      <rPr>
        <vertAlign val="subscript"/>
        <sz val="12"/>
        <color theme="1"/>
        <rFont val="Calibri"/>
        <family val="2"/>
        <scheme val="minor"/>
      </rPr>
      <t>II_y</t>
    </r>
  </si>
  <si>
    <r>
      <t>M</t>
    </r>
    <r>
      <rPr>
        <vertAlign val="subscript"/>
        <sz val="12"/>
        <color theme="1"/>
        <rFont val="Calibri"/>
        <family val="2"/>
        <scheme val="minor"/>
      </rPr>
      <t>II_y</t>
    </r>
  </si>
  <si>
    <r>
      <t>e</t>
    </r>
    <r>
      <rPr>
        <vertAlign val="subscript"/>
        <sz val="12"/>
        <color theme="1"/>
        <rFont val="Calibri"/>
        <family val="2"/>
        <scheme val="minor"/>
      </rPr>
      <t>I_z</t>
    </r>
  </si>
  <si>
    <r>
      <t>M</t>
    </r>
    <r>
      <rPr>
        <vertAlign val="subscript"/>
        <sz val="12"/>
        <color theme="1"/>
        <rFont val="Calibri"/>
        <family val="2"/>
        <scheme val="minor"/>
      </rPr>
      <t>I_z</t>
    </r>
  </si>
  <si>
    <r>
      <t>e</t>
    </r>
    <r>
      <rPr>
        <vertAlign val="subscript"/>
        <sz val="12"/>
        <color theme="1"/>
        <rFont val="Calibri"/>
        <family val="2"/>
        <scheme val="minor"/>
      </rPr>
      <t>II_z</t>
    </r>
  </si>
  <si>
    <r>
      <t>M</t>
    </r>
    <r>
      <rPr>
        <vertAlign val="subscript"/>
        <sz val="12"/>
        <color theme="1"/>
        <rFont val="Calibri"/>
        <family val="2"/>
        <scheme val="minor"/>
      </rPr>
      <t>II_z</t>
    </r>
  </si>
  <si>
    <r>
      <t>η</t>
    </r>
    <r>
      <rPr>
        <vertAlign val="subscript"/>
        <sz val="12"/>
        <color theme="1"/>
        <rFont val="Calibri"/>
        <family val="2"/>
        <scheme val="minor"/>
      </rPr>
      <t>_Th.2</t>
    </r>
  </si>
  <si>
    <r>
      <t>M</t>
    </r>
    <r>
      <rPr>
        <vertAlign val="subscript"/>
        <sz val="12"/>
        <color theme="1"/>
        <rFont val="Calibri"/>
        <family val="2"/>
        <scheme val="minor"/>
      </rPr>
      <t>ed</t>
    </r>
  </si>
  <si>
    <r>
      <t>H</t>
    </r>
    <r>
      <rPr>
        <vertAlign val="subscript"/>
        <sz val="12"/>
        <color theme="1"/>
        <rFont val="Calibri"/>
        <family val="2"/>
        <scheme val="minor"/>
      </rPr>
      <t>ed</t>
    </r>
  </si>
  <si>
    <t>Diagramme der Gegenübertellung</t>
  </si>
  <si>
    <t>Ki = Kippen</t>
  </si>
  <si>
    <t>/ = Spannung</t>
  </si>
  <si>
    <t>/ = Spannungsnachwei</t>
  </si>
  <si>
    <r>
      <t xml:space="preserve">Biegespannung nach </t>
    </r>
    <r>
      <rPr>
        <b/>
        <sz val="14"/>
        <color rgb="FFFF0000"/>
        <rFont val="Calibri"/>
        <family val="2"/>
        <scheme val="minor"/>
      </rPr>
      <t>Theorie I. Ordnung</t>
    </r>
  </si>
  <si>
    <r>
      <t>Biegespannung nach</t>
    </r>
    <r>
      <rPr>
        <b/>
        <sz val="14"/>
        <color rgb="FFFF0000"/>
        <rFont val="Calibri"/>
        <family val="2"/>
        <scheme val="minor"/>
      </rPr>
      <t xml:space="preserve"> Theorie II. Ordnung</t>
    </r>
  </si>
  <si>
    <t>Optimierung</t>
  </si>
  <si>
    <r>
      <t>Biegespannung nach</t>
    </r>
    <r>
      <rPr>
        <b/>
        <sz val="14"/>
        <color rgb="FFFF0000"/>
        <rFont val="Calibri"/>
        <family val="2"/>
        <scheme val="minor"/>
      </rPr>
      <t xml:space="preserve"> Theorie I. und II. Ordnung</t>
    </r>
  </si>
  <si>
    <t>Versagen</t>
  </si>
  <si>
    <t>Importieren</t>
  </si>
  <si>
    <r>
      <t>η</t>
    </r>
    <r>
      <rPr>
        <vertAlign val="subscript"/>
        <sz val="12"/>
        <color theme="1"/>
        <rFont val="Calibri"/>
        <family val="2"/>
        <scheme val="minor"/>
      </rPr>
      <t>_Th.1</t>
    </r>
  </si>
  <si>
    <t>NW erfüllt</t>
  </si>
  <si>
    <t>NW n. erbracht</t>
  </si>
  <si>
    <t>Sp</t>
  </si>
  <si>
    <t>62/62</t>
  </si>
  <si>
    <t>Eingangswerte</t>
  </si>
  <si>
    <t>Bemessungswerte der Einwirkung</t>
  </si>
  <si>
    <t>Charakteristische Festigkeitswerte</t>
  </si>
  <si>
    <t>Güte:</t>
  </si>
  <si>
    <t>Widerstandsbeiwerte</t>
  </si>
  <si>
    <t>Berechnung</t>
  </si>
  <si>
    <t>Querschnittsparameter</t>
  </si>
  <si>
    <r>
      <t>m</t>
    </r>
    <r>
      <rPr>
        <vertAlign val="superscript"/>
        <sz val="11"/>
        <color theme="1"/>
        <rFont val="Calibri"/>
        <family val="2"/>
        <scheme val="minor"/>
      </rPr>
      <t>3</t>
    </r>
  </si>
  <si>
    <t>Bemessungswerte der Festigkeit</t>
  </si>
  <si>
    <t>Schnittgrößenermittlung</t>
  </si>
  <si>
    <t>Schnittgrößen nach Theorie I. Ordnung</t>
  </si>
  <si>
    <t>Schnittgrößen nach Theorie II. Ordnung</t>
  </si>
  <si>
    <t>N/A</t>
  </si>
  <si>
    <t>Decken</t>
  </si>
  <si>
    <t>Ergebnisse des Lastabtrags</t>
  </si>
  <si>
    <t>Import aus Lastabtrag</t>
  </si>
  <si>
    <t>Eingabeleiste</t>
  </si>
  <si>
    <t>Stützenparameter</t>
  </si>
  <si>
    <t>Listen</t>
  </si>
  <si>
    <t>Materialkennwerte nach DIN EN 14080</t>
  </si>
  <si>
    <t>Verfasser:</t>
  </si>
  <si>
    <t>angesetzt in:</t>
  </si>
  <si>
    <t>Doku</t>
  </si>
  <si>
    <t>Pfad</t>
  </si>
  <si>
    <t>C:\Users\Cal.Mense\OneDrive - Arup\01_Privat\03_Masterarbeit\03_Skripting\00_neu\02_Tutorials\01_Stützenbemessung_ec5_63\02_PDF_export\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</si>
</sst>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.0"/>
    <numFmt numFmtId="165" formatCode="0.000"/>
    <numFmt numFmtId="166" formatCode="0.0000"/>
    <numFmt numFmtId="167" formatCode="#,##0.0"/>
    <numFmt numFmtId="168" formatCode="#,##0.000"/>
    <numFmt numFmtId="169" formatCode="#,##0.0000"/>
  </numFmts>
  <fonts count="43" x14ac:knownFonts="1"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vertAlign val="subscript"/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11"/>
      <color rgb="FFC00000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vertAlign val="subscript"/>
      <sz val="1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2"/>
      <color theme="0"/>
      <name val="Calibri"/>
      <family val="2"/>
      <scheme val="minor"/>
    </font>
    <font>
      <sz val="8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vertAlign val="subscript"/>
      <sz val="11"/>
      <color theme="1"/>
      <name val="Calibri"/>
      <family val="2"/>
      <scheme val="minor"/>
    </font>
    <font>
      <vertAlign val="subscript"/>
      <sz val="12"/>
      <color theme="1"/>
      <name val="Calibri"/>
      <family val="2"/>
      <scheme val="minor"/>
    </font>
    <font>
      <b/>
      <vertAlign val="subscript"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rgb="FFFF0000"/>
      <name val="Calibri"/>
      <family val="2"/>
      <scheme val="minor"/>
    </font>
    <font>
      <sz val="14"/>
      <color rgb="FFFF0000"/>
      <name val="Calibri"/>
      <family val="2"/>
      <scheme val="minor"/>
    </font>
    <font>
      <i/>
      <sz val="14"/>
      <color theme="1"/>
      <name val="Calibri"/>
      <family val="2"/>
      <scheme val="minor"/>
    </font>
    <font>
      <sz val="14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vertAlign val="superscript"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9"/>
      <color theme="1"/>
      <name val="Calibri"/>
      <family val="2"/>
      <scheme val="minor"/>
    </font>
    <font>
      <sz val="12"/>
      <color theme="0" tint="-4.9989318521683403E-2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5">
    <xf numFmtId="0" fontId="0" fillId="0" borderId="0"/>
    <xf numFmtId="9" fontId="13" fillId="0" borderId="0" applyFont="0" applyFill="0" applyBorder="0" applyAlignment="0" applyProtection="0"/>
    <xf numFmtId="0" fontId="11" fillId="0" borderId="0"/>
    <xf numFmtId="0" fontId="11" fillId="0" borderId="0"/>
    <xf numFmtId="0" fontId="24" fillId="0" borderId="0" applyNumberFormat="0" applyFill="0" applyBorder="0" applyAlignment="0" applyProtection="0"/>
  </cellStyleXfs>
  <cellXfs count="681">
    <xf numFmtId="0" fontId="0" fillId="0" borderId="0" xfId="0"/>
    <xf numFmtId="0" fontId="0" fillId="0" borderId="0" xfId="0" applyAlignment="1">
      <alignment vertical="center"/>
    </xf>
    <xf numFmtId="0" fontId="12" fillId="0" borderId="0" xfId="0" applyFont="1" applyAlignment="1">
      <alignment vertical="center"/>
    </xf>
    <xf numFmtId="0" fontId="0" fillId="0" borderId="0" xfId="0" applyAlignment="1">
      <alignment horizontal="center"/>
    </xf>
    <xf numFmtId="0" fontId="15" fillId="0" borderId="0" xfId="0" applyFont="1" applyAlignment="1">
      <alignment vertical="center"/>
    </xf>
    <xf numFmtId="0" fontId="11" fillId="2" borderId="4" xfId="2" applyFill="1" applyBorder="1" applyAlignment="1">
      <alignment horizontal="center" vertical="center"/>
    </xf>
    <xf numFmtId="0" fontId="11" fillId="2" borderId="0" xfId="2" applyFill="1" applyAlignment="1">
      <alignment horizontal="center" vertical="center"/>
    </xf>
    <xf numFmtId="0" fontId="11" fillId="2" borderId="5" xfId="2" applyFill="1" applyBorder="1" applyAlignment="1">
      <alignment horizontal="center" vertical="center"/>
    </xf>
    <xf numFmtId="0" fontId="11" fillId="0" borderId="0" xfId="0" applyFont="1" applyAlignment="1">
      <alignment vertical="center"/>
    </xf>
    <xf numFmtId="0" fontId="18" fillId="2" borderId="7" xfId="2" applyFont="1" applyFill="1" applyBorder="1" applyAlignment="1">
      <alignment horizontal="center" vertical="center"/>
    </xf>
    <xf numFmtId="1" fontId="0" fillId="0" borderId="0" xfId="0" applyNumberFormat="1" applyAlignment="1">
      <alignment horizontal="center"/>
    </xf>
    <xf numFmtId="1" fontId="0" fillId="0" borderId="4" xfId="0" applyNumberFormat="1" applyBorder="1" applyAlignment="1">
      <alignment horizontal="center"/>
    </xf>
    <xf numFmtId="1" fontId="0" fillId="0" borderId="1" xfId="0" applyNumberFormat="1" applyBorder="1" applyAlignment="1">
      <alignment horizontal="center"/>
    </xf>
    <xf numFmtId="1" fontId="0" fillId="0" borderId="6" xfId="0" applyNumberFormat="1" applyBorder="1" applyAlignment="1">
      <alignment horizontal="center"/>
    </xf>
    <xf numFmtId="1" fontId="0" fillId="0" borderId="7" xfId="0" applyNumberFormat="1" applyBorder="1" applyAlignment="1">
      <alignment horizontal="center"/>
    </xf>
    <xf numFmtId="0" fontId="0" fillId="0" borderId="7" xfId="0" applyBorder="1"/>
    <xf numFmtId="0" fontId="11" fillId="3" borderId="0" xfId="2" applyFill="1"/>
    <xf numFmtId="0" fontId="18" fillId="0" borderId="0" xfId="0" applyFont="1" applyAlignment="1">
      <alignment horizontal="center" vertical="center"/>
    </xf>
    <xf numFmtId="0" fontId="11" fillId="3" borderId="0" xfId="2" applyFill="1" applyAlignment="1">
      <alignment horizontal="center"/>
    </xf>
    <xf numFmtId="0" fontId="18" fillId="0" borderId="0" xfId="0" applyFont="1" applyAlignment="1">
      <alignment horizontal="center"/>
    </xf>
    <xf numFmtId="0" fontId="14" fillId="4" borderId="9" xfId="0" applyFont="1" applyFill="1" applyBorder="1" applyAlignment="1">
      <alignment horizontal="center" vertical="center"/>
    </xf>
    <xf numFmtId="0" fontId="14" fillId="0" borderId="0" xfId="0" applyFont="1" applyAlignment="1">
      <alignment vertical="center"/>
    </xf>
    <xf numFmtId="0" fontId="11" fillId="4" borderId="10" xfId="2" applyFill="1" applyBorder="1" applyAlignment="1">
      <alignment horizontal="center" vertical="center"/>
    </xf>
    <xf numFmtId="0" fontId="18" fillId="0" borderId="0" xfId="0" applyFont="1" applyAlignment="1">
      <alignment vertical="center"/>
    </xf>
    <xf numFmtId="0" fontId="18" fillId="2" borderId="6" xfId="2" applyFont="1" applyFill="1" applyBorder="1" applyAlignment="1">
      <alignment horizontal="center" vertical="center"/>
    </xf>
    <xf numFmtId="0" fontId="18" fillId="2" borderId="8" xfId="2" applyFont="1" applyFill="1" applyBorder="1" applyAlignment="1">
      <alignment horizontal="center" vertical="center"/>
    </xf>
    <xf numFmtId="0" fontId="18" fillId="4" borderId="11" xfId="2" applyFont="1" applyFill="1" applyBorder="1" applyAlignment="1">
      <alignment horizontal="center" vertical="center"/>
    </xf>
    <xf numFmtId="1" fontId="11" fillId="3" borderId="0" xfId="2" applyNumberFormat="1" applyFill="1" applyAlignment="1">
      <alignment horizontal="center"/>
    </xf>
    <xf numFmtId="3" fontId="11" fillId="3" borderId="0" xfId="2" applyNumberFormat="1" applyFill="1" applyAlignment="1">
      <alignment horizontal="center"/>
    </xf>
    <xf numFmtId="2" fontId="11" fillId="3" borderId="0" xfId="2" applyNumberFormat="1" applyFill="1" applyAlignment="1">
      <alignment horizontal="center"/>
    </xf>
    <xf numFmtId="2" fontId="0" fillId="0" borderId="0" xfId="0" applyNumberFormat="1" applyAlignment="1">
      <alignment horizontal="center"/>
    </xf>
    <xf numFmtId="3" fontId="0" fillId="0" borderId="0" xfId="0" applyNumberFormat="1" applyAlignment="1">
      <alignment horizontal="center"/>
    </xf>
    <xf numFmtId="9" fontId="0" fillId="0" borderId="0" xfId="1" applyFont="1" applyAlignment="1">
      <alignment horizontal="center"/>
    </xf>
    <xf numFmtId="0" fontId="14" fillId="3" borderId="0" xfId="2" applyFont="1" applyFill="1" applyAlignment="1">
      <alignment horizontal="center"/>
    </xf>
    <xf numFmtId="0" fontId="19" fillId="3" borderId="0" xfId="0" applyFont="1" applyFill="1" applyAlignment="1">
      <alignment horizontal="center"/>
    </xf>
    <xf numFmtId="0" fontId="11" fillId="0" borderId="0" xfId="0" applyFont="1"/>
    <xf numFmtId="0" fontId="11" fillId="0" borderId="0" xfId="0" applyFont="1" applyAlignment="1">
      <alignment horizontal="left"/>
    </xf>
    <xf numFmtId="0" fontId="15" fillId="0" borderId="0" xfId="0" applyFont="1"/>
    <xf numFmtId="0" fontId="20" fillId="0" borderId="0" xfId="0" applyFont="1"/>
    <xf numFmtId="0" fontId="11" fillId="0" borderId="7" xfId="0" applyFont="1" applyBorder="1"/>
    <xf numFmtId="1" fontId="18" fillId="0" borderId="0" xfId="0" applyNumberFormat="1" applyFont="1" applyAlignment="1">
      <alignment vertical="center"/>
    </xf>
    <xf numFmtId="165" fontId="11" fillId="0" borderId="0" xfId="0" applyNumberFormat="1" applyFont="1"/>
    <xf numFmtId="0" fontId="11" fillId="0" borderId="0" xfId="0" applyFont="1" applyAlignment="1">
      <alignment wrapText="1"/>
    </xf>
    <xf numFmtId="0" fontId="21" fillId="0" borderId="0" xfId="0" applyFont="1"/>
    <xf numFmtId="0" fontId="11" fillId="2" borderId="2" xfId="0" applyFont="1" applyFill="1" applyBorder="1"/>
    <xf numFmtId="0" fontId="11" fillId="2" borderId="7" xfId="0" applyFont="1" applyFill="1" applyBorder="1"/>
    <xf numFmtId="165" fontId="15" fillId="0" borderId="0" xfId="0" applyNumberFormat="1" applyFont="1"/>
    <xf numFmtId="2" fontId="11" fillId="0" borderId="0" xfId="0" applyNumberFormat="1" applyFont="1"/>
    <xf numFmtId="0" fontId="11" fillId="0" borderId="0" xfId="2"/>
    <xf numFmtId="3" fontId="11" fillId="0" borderId="15" xfId="2" applyNumberFormat="1" applyBorder="1" applyAlignment="1">
      <alignment horizontal="center" vertical="center"/>
    </xf>
    <xf numFmtId="0" fontId="11" fillId="0" borderId="0" xfId="2" applyAlignment="1">
      <alignment horizontal="center" vertical="center"/>
    </xf>
    <xf numFmtId="0" fontId="18" fillId="0" borderId="0" xfId="0" applyFont="1" applyAlignment="1">
      <alignment horizontal="center"/>
    </xf>
    <xf numFmtId="0" fontId="25" fillId="3" borderId="0" xfId="0" applyFont="1" applyFill="1" applyAlignment="1">
      <alignment horizontal="center" vertical="center"/>
    </xf>
    <xf numFmtId="0" fontId="16" fillId="3" borderId="0" xfId="2" applyFont="1" applyFill="1" applyAlignment="1">
      <alignment horizontal="center" vertical="center"/>
    </xf>
    <xf numFmtId="0" fontId="11" fillId="4" borderId="4" xfId="2" applyFill="1" applyBorder="1" applyAlignment="1">
      <alignment horizontal="center" vertical="center"/>
    </xf>
    <xf numFmtId="0" fontId="11" fillId="4" borderId="0" xfId="2" applyFill="1" applyAlignment="1">
      <alignment horizontal="center" vertical="center"/>
    </xf>
    <xf numFmtId="0" fontId="11" fillId="4" borderId="5" xfId="2" applyFill="1" applyBorder="1" applyAlignment="1">
      <alignment horizontal="center" vertical="center"/>
    </xf>
    <xf numFmtId="0" fontId="18" fillId="4" borderId="6" xfId="2" applyFont="1" applyFill="1" applyBorder="1" applyAlignment="1">
      <alignment horizontal="center" vertical="center"/>
    </xf>
    <xf numFmtId="0" fontId="18" fillId="4" borderId="7" xfId="2" applyFont="1" applyFill="1" applyBorder="1" applyAlignment="1">
      <alignment horizontal="center" vertical="center"/>
    </xf>
    <xf numFmtId="0" fontId="18" fillId="4" borderId="8" xfId="2" applyFont="1" applyFill="1" applyBorder="1" applyAlignment="1">
      <alignment horizontal="center" vertical="center"/>
    </xf>
    <xf numFmtId="0" fontId="11" fillId="3" borderId="0" xfId="2" applyFill="1" applyAlignment="1">
      <alignment horizontal="left" indent="2"/>
    </xf>
    <xf numFmtId="0" fontId="13" fillId="3" borderId="0" xfId="0" applyFont="1" applyFill="1" applyAlignment="1">
      <alignment horizontal="center" vertical="center"/>
    </xf>
    <xf numFmtId="0" fontId="0" fillId="2" borderId="2" xfId="0" applyFont="1" applyFill="1" applyBorder="1" applyAlignment="1">
      <alignment horizontal="left" vertical="center"/>
    </xf>
    <xf numFmtId="0" fontId="0" fillId="2" borderId="3" xfId="0" applyFont="1" applyFill="1" applyBorder="1" applyAlignment="1">
      <alignment horizontal="left" vertical="center"/>
    </xf>
    <xf numFmtId="0" fontId="11" fillId="4" borderId="1" xfId="0" applyFont="1" applyFill="1" applyBorder="1" applyAlignment="1">
      <alignment vertical="center"/>
    </xf>
    <xf numFmtId="0" fontId="11" fillId="4" borderId="2" xfId="0" applyFont="1" applyFill="1" applyBorder="1" applyAlignment="1">
      <alignment vertical="center"/>
    </xf>
    <xf numFmtId="0" fontId="14" fillId="4" borderId="1" xfId="0" applyFont="1" applyFill="1" applyBorder="1" applyAlignment="1">
      <alignment vertical="center"/>
    </xf>
    <xf numFmtId="0" fontId="14" fillId="4" borderId="2" xfId="0" applyFont="1" applyFill="1" applyBorder="1" applyAlignment="1">
      <alignment vertical="center"/>
    </xf>
    <xf numFmtId="0" fontId="11" fillId="3" borderId="1" xfId="2" applyFill="1" applyBorder="1" applyAlignment="1">
      <alignment horizontal="center"/>
    </xf>
    <xf numFmtId="0" fontId="11" fillId="3" borderId="2" xfId="2" applyFill="1" applyBorder="1" applyAlignment="1">
      <alignment horizontal="center"/>
    </xf>
    <xf numFmtId="1" fontId="10" fillId="3" borderId="2" xfId="2" applyNumberFormat="1" applyFont="1" applyFill="1" applyBorder="1" applyAlignment="1">
      <alignment horizontal="center"/>
    </xf>
    <xf numFmtId="3" fontId="10" fillId="3" borderId="2" xfId="2" applyNumberFormat="1" applyFont="1" applyFill="1" applyBorder="1" applyAlignment="1">
      <alignment horizontal="center"/>
    </xf>
    <xf numFmtId="2" fontId="11" fillId="3" borderId="2" xfId="2" applyNumberFormat="1" applyFill="1" applyBorder="1" applyAlignment="1">
      <alignment horizontal="center"/>
    </xf>
    <xf numFmtId="1" fontId="11" fillId="3" borderId="2" xfId="2" applyNumberFormat="1" applyFill="1" applyBorder="1" applyAlignment="1">
      <alignment horizontal="center"/>
    </xf>
    <xf numFmtId="1" fontId="11" fillId="3" borderId="3" xfId="2" applyNumberFormat="1" applyFill="1" applyBorder="1" applyAlignment="1">
      <alignment horizontal="center"/>
    </xf>
    <xf numFmtId="0" fontId="11" fillId="3" borderId="4" xfId="2" applyFill="1" applyBorder="1" applyAlignment="1">
      <alignment horizontal="center"/>
    </xf>
    <xf numFmtId="0" fontId="11" fillId="3" borderId="0" xfId="2" applyFill="1" applyBorder="1" applyAlignment="1">
      <alignment horizontal="center"/>
    </xf>
    <xf numFmtId="1" fontId="10" fillId="3" borderId="0" xfId="2" applyNumberFormat="1" applyFont="1" applyFill="1" applyBorder="1" applyAlignment="1">
      <alignment horizontal="center"/>
    </xf>
    <xf numFmtId="3" fontId="10" fillId="3" borderId="0" xfId="2" applyNumberFormat="1" applyFont="1" applyFill="1" applyBorder="1" applyAlignment="1">
      <alignment horizontal="center"/>
    </xf>
    <xf numFmtId="2" fontId="11" fillId="3" borderId="0" xfId="2" applyNumberFormat="1" applyFill="1" applyBorder="1" applyAlignment="1">
      <alignment horizontal="center"/>
    </xf>
    <xf numFmtId="1" fontId="11" fillId="3" borderId="0" xfId="2" applyNumberFormat="1" applyFill="1" applyBorder="1" applyAlignment="1">
      <alignment horizontal="center"/>
    </xf>
    <xf numFmtId="1" fontId="11" fillId="3" borderId="5" xfId="2" applyNumberFormat="1" applyFill="1" applyBorder="1" applyAlignment="1">
      <alignment horizontal="center"/>
    </xf>
    <xf numFmtId="0" fontId="11" fillId="3" borderId="6" xfId="2" applyFill="1" applyBorder="1" applyAlignment="1">
      <alignment horizontal="center"/>
    </xf>
    <xf numFmtId="0" fontId="11" fillId="3" borderId="7" xfId="2" applyFill="1" applyBorder="1" applyAlignment="1">
      <alignment horizontal="center"/>
    </xf>
    <xf numFmtId="1" fontId="10" fillId="3" borderId="7" xfId="2" applyNumberFormat="1" applyFont="1" applyFill="1" applyBorder="1" applyAlignment="1">
      <alignment horizontal="center"/>
    </xf>
    <xf numFmtId="3" fontId="10" fillId="3" borderId="7" xfId="2" applyNumberFormat="1" applyFont="1" applyFill="1" applyBorder="1" applyAlignment="1">
      <alignment horizontal="center"/>
    </xf>
    <xf numFmtId="2" fontId="11" fillId="3" borderId="7" xfId="2" applyNumberFormat="1" applyFill="1" applyBorder="1" applyAlignment="1">
      <alignment horizontal="center"/>
    </xf>
    <xf numFmtId="1" fontId="11" fillId="3" borderId="7" xfId="2" applyNumberFormat="1" applyFill="1" applyBorder="1" applyAlignment="1">
      <alignment horizontal="center"/>
    </xf>
    <xf numFmtId="1" fontId="11" fillId="3" borderId="8" xfId="2" applyNumberFormat="1" applyFill="1" applyBorder="1" applyAlignment="1">
      <alignment horizontal="center"/>
    </xf>
    <xf numFmtId="0" fontId="11" fillId="5" borderId="4" xfId="2" applyFill="1" applyBorder="1" applyAlignment="1">
      <alignment horizontal="center"/>
    </xf>
    <xf numFmtId="0" fontId="11" fillId="5" borderId="0" xfId="2" applyFill="1" applyBorder="1" applyAlignment="1">
      <alignment horizontal="center"/>
    </xf>
    <xf numFmtId="1" fontId="10" fillId="5" borderId="0" xfId="2" applyNumberFormat="1" applyFont="1" applyFill="1" applyBorder="1" applyAlignment="1">
      <alignment horizontal="center"/>
    </xf>
    <xf numFmtId="3" fontId="10" fillId="5" borderId="0" xfId="2" applyNumberFormat="1" applyFont="1" applyFill="1" applyBorder="1" applyAlignment="1">
      <alignment horizontal="center"/>
    </xf>
    <xf numFmtId="2" fontId="11" fillId="5" borderId="0" xfId="2" applyNumberFormat="1" applyFill="1" applyBorder="1" applyAlignment="1">
      <alignment horizontal="center"/>
    </xf>
    <xf numFmtId="1" fontId="11" fillId="5" borderId="0" xfId="2" applyNumberFormat="1" applyFill="1" applyBorder="1" applyAlignment="1">
      <alignment horizontal="center"/>
    </xf>
    <xf numFmtId="1" fontId="11" fillId="5" borderId="5" xfId="2" applyNumberFormat="1" applyFill="1" applyBorder="1" applyAlignment="1">
      <alignment horizontal="center"/>
    </xf>
    <xf numFmtId="0" fontId="11" fillId="4" borderId="0" xfId="0" applyFont="1" applyFill="1" applyBorder="1" applyAlignment="1">
      <alignment vertical="center"/>
    </xf>
    <xf numFmtId="0" fontId="11" fillId="4" borderId="0" xfId="2" applyFill="1" applyBorder="1" applyAlignment="1">
      <alignment horizontal="center" vertical="center"/>
    </xf>
    <xf numFmtId="0" fontId="14" fillId="4" borderId="3" xfId="0" applyFont="1" applyFill="1" applyBorder="1" applyAlignment="1">
      <alignment horizontal="center" vertical="center"/>
    </xf>
    <xf numFmtId="0" fontId="18" fillId="4" borderId="7" xfId="0" applyFont="1" applyFill="1" applyBorder="1" applyAlignment="1">
      <alignment vertical="center"/>
    </xf>
    <xf numFmtId="2" fontId="0" fillId="0" borderId="2" xfId="0" applyNumberFormat="1" applyBorder="1" applyAlignment="1">
      <alignment horizontal="center"/>
    </xf>
    <xf numFmtId="1" fontId="0" fillId="0" borderId="2" xfId="0" applyNumberFormat="1" applyBorder="1" applyAlignment="1">
      <alignment horizontal="center"/>
    </xf>
    <xf numFmtId="3" fontId="0" fillId="0" borderId="2" xfId="0" applyNumberFormat="1" applyBorder="1" applyAlignment="1">
      <alignment horizontal="center"/>
    </xf>
    <xf numFmtId="0" fontId="0" fillId="0" borderId="2" xfId="0" applyBorder="1"/>
    <xf numFmtId="9" fontId="0" fillId="0" borderId="3" xfId="1" applyFont="1" applyBorder="1" applyAlignment="1">
      <alignment horizontal="center"/>
    </xf>
    <xf numFmtId="2" fontId="0" fillId="0" borderId="0" xfId="0" applyNumberFormat="1" applyBorder="1" applyAlignment="1">
      <alignment horizontal="center"/>
    </xf>
    <xf numFmtId="1" fontId="0" fillId="0" borderId="0" xfId="0" applyNumberFormat="1" applyBorder="1" applyAlignment="1">
      <alignment horizontal="center"/>
    </xf>
    <xf numFmtId="3" fontId="0" fillId="0" borderId="0" xfId="0" applyNumberFormat="1" applyBorder="1" applyAlignment="1">
      <alignment horizontal="center"/>
    </xf>
    <xf numFmtId="0" fontId="0" fillId="0" borderId="0" xfId="0" applyBorder="1"/>
    <xf numFmtId="9" fontId="0" fillId="0" borderId="5" xfId="1" applyFont="1" applyBorder="1" applyAlignment="1">
      <alignment horizontal="center"/>
    </xf>
    <xf numFmtId="2" fontId="0" fillId="0" borderId="7" xfId="0" applyNumberFormat="1" applyBorder="1" applyAlignment="1">
      <alignment horizontal="center"/>
    </xf>
    <xf numFmtId="3" fontId="0" fillId="0" borderId="7" xfId="0" applyNumberFormat="1" applyBorder="1" applyAlignment="1">
      <alignment horizontal="center"/>
    </xf>
    <xf numFmtId="9" fontId="0" fillId="0" borderId="8" xfId="1" applyFont="1" applyBorder="1" applyAlignment="1">
      <alignment horizontal="center"/>
    </xf>
    <xf numFmtId="1" fontId="0" fillId="5" borderId="4" xfId="0" applyNumberFormat="1" applyFill="1" applyBorder="1" applyAlignment="1">
      <alignment horizontal="center"/>
    </xf>
    <xf numFmtId="2" fontId="0" fillId="5" borderId="0" xfId="0" applyNumberFormat="1" applyFill="1" applyBorder="1" applyAlignment="1">
      <alignment horizontal="center"/>
    </xf>
    <xf numFmtId="1" fontId="0" fillId="5" borderId="0" xfId="0" applyNumberFormat="1" applyFill="1" applyBorder="1" applyAlignment="1">
      <alignment horizontal="center"/>
    </xf>
    <xf numFmtId="3" fontId="0" fillId="5" borderId="0" xfId="0" applyNumberFormat="1" applyFill="1" applyBorder="1" applyAlignment="1">
      <alignment horizontal="center"/>
    </xf>
    <xf numFmtId="0" fontId="0" fillId="5" borderId="0" xfId="0" applyFill="1" applyBorder="1"/>
    <xf numFmtId="9" fontId="0" fillId="5" borderId="5" xfId="1" applyFont="1" applyFill="1" applyBorder="1" applyAlignment="1">
      <alignment horizontal="center"/>
    </xf>
    <xf numFmtId="9" fontId="0" fillId="0" borderId="1" xfId="1" applyFont="1" applyBorder="1" applyAlignment="1">
      <alignment horizontal="center"/>
    </xf>
    <xf numFmtId="9" fontId="0" fillId="0" borderId="2" xfId="1" applyFont="1" applyBorder="1" applyAlignment="1">
      <alignment horizontal="center"/>
    </xf>
    <xf numFmtId="4" fontId="0" fillId="0" borderId="2" xfId="0" applyNumberFormat="1" applyBorder="1" applyAlignment="1">
      <alignment horizontal="center"/>
    </xf>
    <xf numFmtId="4" fontId="0" fillId="0" borderId="3" xfId="0" applyNumberFormat="1" applyBorder="1" applyAlignment="1">
      <alignment horizontal="center"/>
    </xf>
    <xf numFmtId="9" fontId="0" fillId="0" borderId="4" xfId="1" applyFont="1" applyBorder="1" applyAlignment="1">
      <alignment horizontal="center"/>
    </xf>
    <xf numFmtId="9" fontId="0" fillId="0" borderId="0" xfId="1" applyFont="1" applyBorder="1" applyAlignment="1">
      <alignment horizontal="center"/>
    </xf>
    <xf numFmtId="4" fontId="0" fillId="0" borderId="0" xfId="0" applyNumberFormat="1" applyBorder="1" applyAlignment="1">
      <alignment horizontal="center"/>
    </xf>
    <xf numFmtId="4" fontId="0" fillId="0" borderId="5" xfId="0" applyNumberFormat="1" applyBorder="1" applyAlignment="1">
      <alignment horizontal="center"/>
    </xf>
    <xf numFmtId="9" fontId="0" fillId="0" borderId="6" xfId="1" applyFont="1" applyBorder="1" applyAlignment="1">
      <alignment horizontal="center"/>
    </xf>
    <xf numFmtId="9" fontId="0" fillId="0" borderId="7" xfId="1" applyFont="1" applyBorder="1" applyAlignment="1">
      <alignment horizontal="center"/>
    </xf>
    <xf numFmtId="4" fontId="0" fillId="0" borderId="7" xfId="0" applyNumberFormat="1" applyBorder="1" applyAlignment="1">
      <alignment horizontal="center"/>
    </xf>
    <xf numFmtId="4" fontId="0" fillId="0" borderId="8" xfId="0" applyNumberFormat="1" applyBorder="1" applyAlignment="1">
      <alignment horizontal="center"/>
    </xf>
    <xf numFmtId="9" fontId="0" fillId="5" borderId="4" xfId="1" applyFont="1" applyFill="1" applyBorder="1" applyAlignment="1">
      <alignment horizontal="center"/>
    </xf>
    <xf numFmtId="9" fontId="0" fillId="5" borderId="0" xfId="1" applyFont="1" applyFill="1" applyBorder="1" applyAlignment="1">
      <alignment horizontal="center"/>
    </xf>
    <xf numFmtId="4" fontId="0" fillId="5" borderId="0" xfId="0" applyNumberFormat="1" applyFill="1" applyBorder="1" applyAlignment="1">
      <alignment horizontal="center"/>
    </xf>
    <xf numFmtId="4" fontId="0" fillId="5" borderId="5" xfId="0" applyNumberFormat="1" applyFill="1" applyBorder="1" applyAlignment="1">
      <alignment horizontal="center"/>
    </xf>
    <xf numFmtId="0" fontId="12" fillId="2" borderId="1" xfId="0" applyFont="1" applyFill="1" applyBorder="1" applyAlignment="1">
      <alignment horizontal="left" vertical="center" indent="1"/>
    </xf>
    <xf numFmtId="0" fontId="0" fillId="0" borderId="0" xfId="0" applyFont="1" applyAlignment="1">
      <alignment horizontal="left" vertical="center"/>
    </xf>
    <xf numFmtId="0" fontId="0" fillId="2" borderId="2" xfId="2" applyFont="1" applyFill="1" applyBorder="1" applyAlignment="1">
      <alignment horizontal="left" vertical="center"/>
    </xf>
    <xf numFmtId="0" fontId="12" fillId="2" borderId="2" xfId="2" applyFont="1" applyFill="1" applyBorder="1" applyAlignment="1">
      <alignment horizontal="left" vertical="center"/>
    </xf>
    <xf numFmtId="0" fontId="12" fillId="2" borderId="2" xfId="2" applyFont="1" applyFill="1" applyBorder="1" applyAlignment="1">
      <alignment horizontal="center" vertical="center"/>
    </xf>
    <xf numFmtId="0" fontId="9" fillId="5" borderId="15" xfId="0" applyFont="1" applyFill="1" applyBorder="1" applyAlignment="1">
      <alignment horizontal="center" vertical="center"/>
    </xf>
    <xf numFmtId="0" fontId="18" fillId="5" borderId="15" xfId="0" applyFont="1" applyFill="1" applyBorder="1" applyAlignment="1">
      <alignment horizontal="center" vertical="center"/>
    </xf>
    <xf numFmtId="0" fontId="9" fillId="2" borderId="4" xfId="0" applyFont="1" applyFill="1" applyBorder="1" applyAlignment="1">
      <alignment horizontal="left" vertical="center" indent="1"/>
    </xf>
    <xf numFmtId="0" fontId="9" fillId="2" borderId="0" xfId="2" applyFont="1" applyFill="1" applyBorder="1" applyAlignment="1">
      <alignment horizontal="left" vertical="center"/>
    </xf>
    <xf numFmtId="0" fontId="9" fillId="2" borderId="0" xfId="0" applyFont="1" applyFill="1" applyBorder="1" applyAlignment="1">
      <alignment horizontal="left" vertical="center" indent="1"/>
    </xf>
    <xf numFmtId="0" fontId="9" fillId="2" borderId="0" xfId="2" applyFont="1" applyFill="1" applyBorder="1" applyAlignment="1">
      <alignment horizontal="left" vertical="center" indent="1"/>
    </xf>
    <xf numFmtId="0" fontId="9" fillId="2" borderId="0" xfId="2" applyFont="1" applyFill="1" applyBorder="1" applyAlignment="1">
      <alignment horizontal="center" vertical="center"/>
    </xf>
    <xf numFmtId="0" fontId="9" fillId="2" borderId="5" xfId="0" applyFont="1" applyFill="1" applyBorder="1" applyAlignment="1">
      <alignment horizontal="left" vertical="center"/>
    </xf>
    <xf numFmtId="0" fontId="9" fillId="2" borderId="6" xfId="0" applyFont="1" applyFill="1" applyBorder="1" applyAlignment="1">
      <alignment horizontal="left" vertical="center" indent="1"/>
    </xf>
    <xf numFmtId="0" fontId="9" fillId="2" borderId="7" xfId="2" applyFont="1" applyFill="1" applyBorder="1" applyAlignment="1">
      <alignment horizontal="left" vertical="center"/>
    </xf>
    <xf numFmtId="0" fontId="9" fillId="2" borderId="7" xfId="0" applyNumberFormat="1" applyFont="1" applyFill="1" applyBorder="1" applyAlignment="1">
      <alignment horizontal="left" vertical="center" indent="1"/>
    </xf>
    <xf numFmtId="0" fontId="9" fillId="2" borderId="8" xfId="0" applyFont="1" applyFill="1" applyBorder="1" applyAlignment="1">
      <alignment horizontal="left" vertical="center"/>
    </xf>
    <xf numFmtId="0" fontId="9" fillId="0" borderId="0" xfId="0" applyFont="1" applyAlignment="1">
      <alignment horizontal="left" vertical="center"/>
    </xf>
    <xf numFmtId="0" fontId="9" fillId="2" borderId="0" xfId="0" applyFont="1" applyFill="1" applyBorder="1" applyAlignment="1">
      <alignment horizontal="left" vertical="center"/>
    </xf>
    <xf numFmtId="0" fontId="9" fillId="2" borderId="4" xfId="0" applyFont="1" applyFill="1" applyBorder="1" applyAlignment="1">
      <alignment horizontal="left" vertical="center" indent="2"/>
    </xf>
    <xf numFmtId="0" fontId="9" fillId="2" borderId="6" xfId="0" applyFont="1" applyFill="1" applyBorder="1" applyAlignment="1">
      <alignment horizontal="left" vertical="center"/>
    </xf>
    <xf numFmtId="0" fontId="9" fillId="2" borderId="7" xfId="0" applyFont="1" applyFill="1" applyBorder="1" applyAlignment="1">
      <alignment horizontal="left" vertical="center"/>
    </xf>
    <xf numFmtId="0" fontId="27" fillId="3" borderId="0" xfId="2" applyFont="1" applyFill="1" applyAlignment="1">
      <alignment horizontal="left" vertical="center" indent="1"/>
    </xf>
    <xf numFmtId="0" fontId="12" fillId="2" borderId="2" xfId="2" applyFont="1" applyFill="1" applyBorder="1" applyAlignment="1">
      <alignment horizontal="left" vertical="center" indent="2"/>
    </xf>
    <xf numFmtId="0" fontId="9" fillId="2" borderId="0" xfId="0" applyFont="1" applyFill="1" applyBorder="1" applyAlignment="1">
      <alignment horizontal="center" vertical="center"/>
    </xf>
    <xf numFmtId="0" fontId="9" fillId="2" borderId="0" xfId="0" applyFont="1" applyFill="1" applyBorder="1" applyAlignment="1">
      <alignment horizontal="left" vertical="center" indent="2"/>
    </xf>
    <xf numFmtId="0" fontId="15" fillId="2" borderId="2" xfId="0" applyFont="1" applyFill="1" applyBorder="1" applyAlignment="1">
      <alignment horizontal="left" vertical="center" indent="2"/>
    </xf>
    <xf numFmtId="0" fontId="9" fillId="2" borderId="2" xfId="0" applyFont="1" applyFill="1" applyBorder="1" applyAlignment="1">
      <alignment horizontal="left" vertical="center"/>
    </xf>
    <xf numFmtId="0" fontId="15" fillId="2" borderId="1" xfId="0" applyFont="1" applyFill="1" applyBorder="1" applyAlignment="1">
      <alignment horizontal="left" vertical="center" indent="2"/>
    </xf>
    <xf numFmtId="0" fontId="15" fillId="4" borderId="5" xfId="2" applyFont="1" applyFill="1" applyBorder="1" applyAlignment="1">
      <alignment horizontal="center" vertical="center"/>
    </xf>
    <xf numFmtId="0" fontId="28" fillId="4" borderId="8" xfId="2" applyFont="1" applyFill="1" applyBorder="1" applyAlignment="1">
      <alignment horizontal="center" vertical="center"/>
    </xf>
    <xf numFmtId="9" fontId="12" fillId="0" borderId="3" xfId="1" applyFont="1" applyBorder="1" applyAlignment="1">
      <alignment horizontal="center"/>
    </xf>
    <xf numFmtId="9" fontId="12" fillId="5" borderId="5" xfId="1" applyFont="1" applyFill="1" applyBorder="1" applyAlignment="1">
      <alignment horizontal="center"/>
    </xf>
    <xf numFmtId="9" fontId="12" fillId="0" borderId="5" xfId="1" applyFont="1" applyBorder="1" applyAlignment="1">
      <alignment horizontal="center"/>
    </xf>
    <xf numFmtId="9" fontId="12" fillId="0" borderId="8" xfId="1" applyFont="1" applyBorder="1" applyAlignment="1">
      <alignment horizontal="center"/>
    </xf>
    <xf numFmtId="0" fontId="9" fillId="2" borderId="5" xfId="2" applyFont="1" applyFill="1" applyBorder="1" applyAlignment="1">
      <alignment horizontal="left" vertical="center"/>
    </xf>
    <xf numFmtId="0" fontId="9" fillId="2" borderId="8" xfId="2" applyFont="1" applyFill="1" applyBorder="1" applyAlignment="1">
      <alignment horizontal="left" vertical="center"/>
    </xf>
    <xf numFmtId="0" fontId="9" fillId="2" borderId="4" xfId="2" applyFont="1" applyFill="1" applyBorder="1" applyAlignment="1">
      <alignment horizontal="left" vertical="center"/>
    </xf>
    <xf numFmtId="0" fontId="9" fillId="2" borderId="6" xfId="2" applyFont="1" applyFill="1" applyBorder="1" applyAlignment="1">
      <alignment horizontal="left" vertical="center"/>
    </xf>
    <xf numFmtId="0" fontId="15" fillId="4" borderId="1" xfId="0" applyFont="1" applyFill="1" applyBorder="1" applyAlignment="1">
      <alignment vertical="center"/>
    </xf>
    <xf numFmtId="0" fontId="15" fillId="4" borderId="2" xfId="0" applyFont="1" applyFill="1" applyBorder="1" applyAlignment="1">
      <alignment vertical="center"/>
    </xf>
    <xf numFmtId="0" fontId="15" fillId="4" borderId="3" xfId="0" applyFont="1" applyFill="1" applyBorder="1" applyAlignment="1">
      <alignment vertical="center"/>
    </xf>
    <xf numFmtId="0" fontId="7" fillId="4" borderId="0" xfId="2" applyFont="1" applyFill="1" applyBorder="1" applyAlignment="1">
      <alignment horizontal="center" vertical="center"/>
    </xf>
    <xf numFmtId="0" fontId="7" fillId="4" borderId="4" xfId="2" applyFont="1" applyFill="1" applyBorder="1" applyAlignment="1">
      <alignment horizontal="center" vertical="center"/>
    </xf>
    <xf numFmtId="0" fontId="7" fillId="4" borderId="5" xfId="2" applyFont="1" applyFill="1" applyBorder="1" applyAlignment="1">
      <alignment horizontal="center" vertical="center"/>
    </xf>
    <xf numFmtId="0" fontId="7" fillId="0" borderId="0" xfId="0" applyFont="1" applyAlignment="1">
      <alignment vertical="center"/>
    </xf>
    <xf numFmtId="0" fontId="7" fillId="4" borderId="1" xfId="0" applyFont="1" applyFill="1" applyBorder="1" applyAlignment="1">
      <alignment vertical="center"/>
    </xf>
    <xf numFmtId="0" fontId="7" fillId="4" borderId="2" xfId="0" applyFont="1" applyFill="1" applyBorder="1" applyAlignment="1">
      <alignment vertical="center"/>
    </xf>
    <xf numFmtId="0" fontId="7" fillId="4" borderId="3" xfId="0" applyFont="1" applyFill="1" applyBorder="1" applyAlignment="1">
      <alignment horizontal="center" vertical="center"/>
    </xf>
    <xf numFmtId="0" fontId="7" fillId="4" borderId="0" xfId="2" applyFont="1" applyFill="1" applyAlignment="1">
      <alignment horizontal="center" vertical="center"/>
    </xf>
    <xf numFmtId="0" fontId="7" fillId="4" borderId="0" xfId="0" applyFont="1" applyFill="1" applyBorder="1" applyAlignment="1">
      <alignment vertical="center"/>
    </xf>
    <xf numFmtId="0" fontId="25" fillId="3" borderId="0" xfId="0" applyFont="1" applyFill="1"/>
    <xf numFmtId="0" fontId="0" fillId="2" borderId="1" xfId="0" applyFont="1" applyFill="1" applyBorder="1" applyAlignment="1">
      <alignment horizontal="left" vertical="center"/>
    </xf>
    <xf numFmtId="0" fontId="9" fillId="2" borderId="1" xfId="0" applyFont="1" applyFill="1" applyBorder="1" applyAlignment="1">
      <alignment horizontal="left" vertical="center" indent="1"/>
    </xf>
    <xf numFmtId="0" fontId="9" fillId="2" borderId="2" xfId="2" applyFont="1" applyFill="1" applyBorder="1" applyAlignment="1">
      <alignment horizontal="left" vertical="center"/>
    </xf>
    <xf numFmtId="0" fontId="9" fillId="2" borderId="2" xfId="0" applyFont="1" applyFill="1" applyBorder="1" applyAlignment="1">
      <alignment horizontal="left" vertical="center" indent="1"/>
    </xf>
    <xf numFmtId="0" fontId="0" fillId="0" borderId="10" xfId="0" applyFont="1" applyBorder="1" applyAlignment="1">
      <alignment horizontal="left" vertical="center"/>
    </xf>
    <xf numFmtId="0" fontId="9" fillId="0" borderId="10" xfId="0" applyFont="1" applyBorder="1" applyAlignment="1">
      <alignment horizontal="left" vertical="center"/>
    </xf>
    <xf numFmtId="0" fontId="9" fillId="2" borderId="7" xfId="2" applyFont="1" applyFill="1" applyBorder="1" applyAlignment="1">
      <alignment horizontal="left" vertical="top"/>
    </xf>
    <xf numFmtId="0" fontId="5" fillId="2" borderId="7" xfId="0" applyFont="1" applyFill="1" applyBorder="1" applyAlignment="1">
      <alignment horizontal="left" vertical="top" indent="1"/>
    </xf>
    <xf numFmtId="0" fontId="15" fillId="2" borderId="6" xfId="0" applyFont="1" applyFill="1" applyBorder="1" applyAlignment="1">
      <alignment horizontal="left" vertical="top" indent="1"/>
    </xf>
    <xf numFmtId="0" fontId="15" fillId="2" borderId="4" xfId="0" applyFont="1" applyFill="1" applyBorder="1" applyAlignment="1">
      <alignment horizontal="left" vertical="top" indent="1"/>
    </xf>
    <xf numFmtId="0" fontId="9" fillId="2" borderId="0" xfId="2" applyFont="1" applyFill="1" applyBorder="1" applyAlignment="1">
      <alignment horizontal="left" vertical="top"/>
    </xf>
    <xf numFmtId="0" fontId="9" fillId="2" borderId="0" xfId="0" applyFont="1" applyFill="1" applyBorder="1" applyAlignment="1">
      <alignment horizontal="left" vertical="top" indent="1"/>
    </xf>
    <xf numFmtId="0" fontId="6" fillId="2" borderId="6" xfId="0" applyFont="1" applyFill="1" applyBorder="1" applyAlignment="1">
      <alignment horizontal="left" vertical="center" indent="1"/>
    </xf>
    <xf numFmtId="0" fontId="12" fillId="2" borderId="1" xfId="0" applyFont="1" applyFill="1" applyBorder="1" applyAlignment="1">
      <alignment horizontal="left" vertical="center"/>
    </xf>
    <xf numFmtId="1" fontId="0" fillId="0" borderId="1" xfId="0" applyNumberFormat="1" applyBorder="1" applyAlignment="1">
      <alignment horizontal="center" vertical="center"/>
    </xf>
    <xf numFmtId="1" fontId="0" fillId="0" borderId="2" xfId="0" applyNumberFormat="1" applyBorder="1" applyAlignment="1">
      <alignment horizontal="center" vertical="center"/>
    </xf>
    <xf numFmtId="9" fontId="12" fillId="0" borderId="2" xfId="1" applyFont="1" applyBorder="1" applyAlignment="1">
      <alignment horizontal="center" vertical="center"/>
    </xf>
    <xf numFmtId="9" fontId="12" fillId="0" borderId="3" xfId="1" applyFont="1" applyBorder="1" applyAlignment="1">
      <alignment horizontal="center" vertical="center"/>
    </xf>
    <xf numFmtId="0" fontId="0" fillId="0" borderId="2" xfId="0" applyBorder="1" applyAlignment="1">
      <alignment vertical="center"/>
    </xf>
    <xf numFmtId="1" fontId="0" fillId="5" borderId="4" xfId="0" applyNumberFormat="1" applyFill="1" applyBorder="1" applyAlignment="1">
      <alignment horizontal="center" vertical="center"/>
    </xf>
    <xf numFmtId="1" fontId="0" fillId="5" borderId="0" xfId="0" applyNumberFormat="1" applyFill="1" applyBorder="1" applyAlignment="1">
      <alignment horizontal="center" vertical="center"/>
    </xf>
    <xf numFmtId="9" fontId="12" fillId="5" borderId="0" xfId="1" applyFont="1" applyFill="1" applyBorder="1" applyAlignment="1">
      <alignment horizontal="center" vertical="center"/>
    </xf>
    <xf numFmtId="9" fontId="12" fillId="5" borderId="5" xfId="1" applyFont="1" applyFill="1" applyBorder="1" applyAlignment="1">
      <alignment horizontal="center" vertical="center"/>
    </xf>
    <xf numFmtId="0" fontId="0" fillId="5" borderId="0" xfId="0" applyFill="1" applyBorder="1" applyAlignment="1">
      <alignment vertical="center"/>
    </xf>
    <xf numFmtId="1" fontId="0" fillId="0" borderId="4" xfId="0" applyNumberFormat="1" applyBorder="1" applyAlignment="1">
      <alignment horizontal="center" vertical="center"/>
    </xf>
    <xf numFmtId="1" fontId="0" fillId="0" borderId="0" xfId="0" applyNumberFormat="1" applyBorder="1" applyAlignment="1">
      <alignment horizontal="center" vertical="center"/>
    </xf>
    <xf numFmtId="9" fontId="12" fillId="0" borderId="0" xfId="1" applyFont="1" applyBorder="1" applyAlignment="1">
      <alignment horizontal="center" vertical="center"/>
    </xf>
    <xf numFmtId="9" fontId="12" fillId="0" borderId="5" xfId="1" applyFont="1" applyBorder="1" applyAlignment="1">
      <alignment horizontal="center" vertical="center"/>
    </xf>
    <xf numFmtId="0" fontId="0" fillId="0" borderId="0" xfId="0" applyBorder="1" applyAlignment="1">
      <alignment vertical="center"/>
    </xf>
    <xf numFmtId="1" fontId="0" fillId="0" borderId="0" xfId="0" applyNumberFormat="1" applyAlignment="1">
      <alignment horizontal="center" vertical="center"/>
    </xf>
    <xf numFmtId="9" fontId="12" fillId="5" borderId="7" xfId="1" applyFont="1" applyFill="1" applyBorder="1" applyAlignment="1">
      <alignment horizontal="center" vertical="center"/>
    </xf>
    <xf numFmtId="9" fontId="12" fillId="5" borderId="8" xfId="1" applyFont="1" applyFill="1" applyBorder="1" applyAlignment="1">
      <alignment horizontal="center" vertical="center"/>
    </xf>
    <xf numFmtId="0" fontId="25" fillId="3" borderId="0" xfId="0" applyFont="1" applyFill="1" applyAlignment="1">
      <alignment horizontal="left" indent="1"/>
    </xf>
    <xf numFmtId="0" fontId="12" fillId="2" borderId="3" xfId="2" applyFont="1" applyFill="1" applyBorder="1" applyAlignment="1">
      <alignment horizontal="left" vertical="center" indent="1"/>
    </xf>
    <xf numFmtId="0" fontId="25" fillId="3" borderId="0" xfId="0" applyFont="1" applyFill="1" applyAlignment="1">
      <alignment horizontal="left" vertical="center" indent="2"/>
    </xf>
    <xf numFmtId="0" fontId="9" fillId="2" borderId="3" xfId="2" applyFont="1" applyFill="1" applyBorder="1" applyAlignment="1">
      <alignment horizontal="left" vertical="center" indent="2"/>
    </xf>
    <xf numFmtId="0" fontId="9" fillId="2" borderId="5" xfId="2" applyFont="1" applyFill="1" applyBorder="1" applyAlignment="1">
      <alignment horizontal="left" vertical="center" indent="2"/>
    </xf>
    <xf numFmtId="0" fontId="9" fillId="2" borderId="8" xfId="2" applyFont="1" applyFill="1" applyBorder="1" applyAlignment="1">
      <alignment horizontal="left" vertical="top" indent="2"/>
    </xf>
    <xf numFmtId="0" fontId="25" fillId="3" borderId="0" xfId="0" applyFont="1" applyFill="1" applyAlignment="1">
      <alignment horizontal="left" indent="2"/>
    </xf>
    <xf numFmtId="0" fontId="12" fillId="2" borderId="3" xfId="2" applyFont="1" applyFill="1" applyBorder="1" applyAlignment="1">
      <alignment horizontal="left" vertical="center" indent="2"/>
    </xf>
    <xf numFmtId="0" fontId="0" fillId="0" borderId="0" xfId="0" applyAlignment="1">
      <alignment horizontal="left" vertical="center" indent="2"/>
    </xf>
    <xf numFmtId="0" fontId="0" fillId="0" borderId="0" xfId="0" applyAlignment="1">
      <alignment horizontal="left" indent="2"/>
    </xf>
    <xf numFmtId="0" fontId="12" fillId="4" borderId="2" xfId="0" applyFont="1" applyFill="1" applyBorder="1" applyAlignment="1">
      <alignment horizontal="center" vertical="center"/>
    </xf>
    <xf numFmtId="0" fontId="0" fillId="0" borderId="10" xfId="0" applyFont="1" applyBorder="1" applyAlignment="1">
      <alignment vertical="center"/>
    </xf>
    <xf numFmtId="0" fontId="0" fillId="4" borderId="4" xfId="2" applyFont="1" applyFill="1" applyBorder="1" applyAlignment="1">
      <alignment horizontal="center" vertical="center"/>
    </xf>
    <xf numFmtId="0" fontId="0" fillId="4" borderId="0" xfId="2" applyFont="1" applyFill="1" applyBorder="1" applyAlignment="1">
      <alignment horizontal="center" vertical="center"/>
    </xf>
    <xf numFmtId="0" fontId="0" fillId="4" borderId="5" xfId="2" applyFont="1" applyFill="1" applyBorder="1" applyAlignment="1">
      <alignment horizontal="center" vertical="center"/>
    </xf>
    <xf numFmtId="0" fontId="12" fillId="4" borderId="0" xfId="2" applyFont="1" applyFill="1" applyBorder="1" applyAlignment="1">
      <alignment horizontal="center" vertical="center"/>
    </xf>
    <xf numFmtId="0" fontId="0" fillId="4" borderId="6" xfId="2" applyFont="1" applyFill="1" applyBorder="1" applyAlignment="1">
      <alignment horizontal="center" vertical="center"/>
    </xf>
    <xf numFmtId="0" fontId="0" fillId="4" borderId="7" xfId="2" applyFont="1" applyFill="1" applyBorder="1" applyAlignment="1">
      <alignment horizontal="center" vertical="center"/>
    </xf>
    <xf numFmtId="0" fontId="0" fillId="4" borderId="8" xfId="2" applyFont="1" applyFill="1" applyBorder="1" applyAlignment="1">
      <alignment horizontal="center" vertical="center"/>
    </xf>
    <xf numFmtId="0" fontId="12" fillId="4" borderId="7" xfId="2" applyFont="1" applyFill="1" applyBorder="1" applyAlignment="1">
      <alignment horizontal="center" vertical="center"/>
    </xf>
    <xf numFmtId="0" fontId="25" fillId="0" borderId="10" xfId="0" applyFont="1" applyBorder="1" applyAlignment="1">
      <alignment vertical="center"/>
    </xf>
    <xf numFmtId="0" fontId="0" fillId="3" borderId="1" xfId="2" applyFont="1" applyFill="1" applyBorder="1" applyAlignment="1">
      <alignment horizontal="center" vertical="center"/>
    </xf>
    <xf numFmtId="2" fontId="0" fillId="3" borderId="0" xfId="2" applyNumberFormat="1" applyFont="1" applyFill="1" applyBorder="1" applyAlignment="1">
      <alignment horizontal="center" vertical="center"/>
    </xf>
    <xf numFmtId="2" fontId="0" fillId="3" borderId="5" xfId="2" applyNumberFormat="1" applyFont="1" applyFill="1" applyBorder="1" applyAlignment="1">
      <alignment horizontal="center" vertical="center"/>
    </xf>
    <xf numFmtId="1" fontId="0" fillId="3" borderId="2" xfId="2" applyNumberFormat="1" applyFont="1" applyFill="1" applyBorder="1" applyAlignment="1">
      <alignment horizontal="center" vertical="center"/>
    </xf>
    <xf numFmtId="1" fontId="0" fillId="3" borderId="3" xfId="2" applyNumberFormat="1" applyFont="1" applyFill="1" applyBorder="1" applyAlignment="1">
      <alignment horizontal="center" vertical="center"/>
    </xf>
    <xf numFmtId="0" fontId="0" fillId="3" borderId="2" xfId="2" applyFont="1" applyFill="1" applyBorder="1" applyAlignment="1">
      <alignment horizontal="center" vertical="center"/>
    </xf>
    <xf numFmtId="3" fontId="0" fillId="3" borderId="2" xfId="2" applyNumberFormat="1" applyFont="1" applyFill="1" applyBorder="1" applyAlignment="1">
      <alignment horizontal="center" vertical="center"/>
    </xf>
    <xf numFmtId="2" fontId="0" fillId="3" borderId="1" xfId="2" applyNumberFormat="1" applyFont="1" applyFill="1" applyBorder="1" applyAlignment="1">
      <alignment horizontal="center" vertical="center"/>
    </xf>
    <xf numFmtId="2" fontId="0" fillId="3" borderId="3" xfId="2" applyNumberFormat="1" applyFont="1" applyFill="1" applyBorder="1" applyAlignment="1">
      <alignment horizontal="center" vertical="center"/>
    </xf>
    <xf numFmtId="1" fontId="0" fillId="0" borderId="1" xfId="0" applyNumberFormat="1" applyFont="1" applyBorder="1" applyAlignment="1">
      <alignment horizontal="center" vertical="center"/>
    </xf>
    <xf numFmtId="2" fontId="0" fillId="0" borderId="2" xfId="0" applyNumberFormat="1" applyFont="1" applyBorder="1" applyAlignment="1">
      <alignment horizontal="center" vertical="center"/>
    </xf>
    <xf numFmtId="1" fontId="0" fillId="0" borderId="2" xfId="0" applyNumberFormat="1" applyFont="1" applyBorder="1" applyAlignment="1">
      <alignment horizontal="center" vertical="center"/>
    </xf>
    <xf numFmtId="3" fontId="0" fillId="0" borderId="2" xfId="0" applyNumberFormat="1" applyFont="1" applyBorder="1" applyAlignment="1">
      <alignment horizontal="center" vertical="center"/>
    </xf>
    <xf numFmtId="3" fontId="0" fillId="0" borderId="3" xfId="0" applyNumberFormat="1" applyFont="1" applyBorder="1" applyAlignment="1">
      <alignment horizontal="center" vertical="center"/>
    </xf>
    <xf numFmtId="0" fontId="0" fillId="5" borderId="4" xfId="2" applyFont="1" applyFill="1" applyBorder="1" applyAlignment="1">
      <alignment horizontal="center" vertical="center"/>
    </xf>
    <xf numFmtId="2" fontId="0" fillId="5" borderId="0" xfId="2" applyNumberFormat="1" applyFont="1" applyFill="1" applyBorder="1" applyAlignment="1">
      <alignment horizontal="center" vertical="center"/>
    </xf>
    <xf numFmtId="2" fontId="0" fillId="5" borderId="5" xfId="2" applyNumberFormat="1" applyFont="1" applyFill="1" applyBorder="1" applyAlignment="1">
      <alignment horizontal="center" vertical="center"/>
    </xf>
    <xf numFmtId="1" fontId="0" fillId="5" borderId="0" xfId="2" applyNumberFormat="1" applyFont="1" applyFill="1" applyBorder="1" applyAlignment="1">
      <alignment horizontal="center" vertical="center"/>
    </xf>
    <xf numFmtId="1" fontId="0" fillId="5" borderId="5" xfId="2" applyNumberFormat="1" applyFont="1" applyFill="1" applyBorder="1" applyAlignment="1">
      <alignment horizontal="center" vertical="center"/>
    </xf>
    <xf numFmtId="0" fontId="0" fillId="5" borderId="0" xfId="2" applyFont="1" applyFill="1" applyBorder="1" applyAlignment="1">
      <alignment horizontal="center" vertical="center"/>
    </xf>
    <xf numFmtId="3" fontId="0" fillId="5" borderId="0" xfId="2" applyNumberFormat="1" applyFont="1" applyFill="1" applyBorder="1" applyAlignment="1">
      <alignment horizontal="center" vertical="center"/>
    </xf>
    <xf numFmtId="2" fontId="0" fillId="5" borderId="4" xfId="2" applyNumberFormat="1" applyFont="1" applyFill="1" applyBorder="1" applyAlignment="1">
      <alignment horizontal="center" vertical="center"/>
    </xf>
    <xf numFmtId="1" fontId="0" fillId="5" borderId="4" xfId="0" applyNumberFormat="1" applyFont="1" applyFill="1" applyBorder="1" applyAlignment="1">
      <alignment horizontal="center" vertical="center"/>
    </xf>
    <xf numFmtId="2" fontId="0" fillId="5" borderId="0" xfId="0" applyNumberFormat="1" applyFont="1" applyFill="1" applyBorder="1" applyAlignment="1">
      <alignment horizontal="center" vertical="center"/>
    </xf>
    <xf numFmtId="1" fontId="0" fillId="5" borderId="0" xfId="0" applyNumberFormat="1" applyFont="1" applyFill="1" applyBorder="1" applyAlignment="1">
      <alignment horizontal="center" vertical="center"/>
    </xf>
    <xf numFmtId="3" fontId="0" fillId="5" borderId="0" xfId="0" applyNumberFormat="1" applyFont="1" applyFill="1" applyBorder="1" applyAlignment="1">
      <alignment horizontal="center" vertical="center"/>
    </xf>
    <xf numFmtId="3" fontId="0" fillId="5" borderId="5" xfId="0" applyNumberFormat="1" applyFont="1" applyFill="1" applyBorder="1" applyAlignment="1">
      <alignment horizontal="center" vertical="center"/>
    </xf>
    <xf numFmtId="0" fontId="0" fillId="3" borderId="4" xfId="2" applyFont="1" applyFill="1" applyBorder="1" applyAlignment="1">
      <alignment horizontal="center" vertical="center"/>
    </xf>
    <xf numFmtId="1" fontId="0" fillId="3" borderId="0" xfId="2" applyNumberFormat="1" applyFont="1" applyFill="1" applyBorder="1" applyAlignment="1">
      <alignment horizontal="center" vertical="center"/>
    </xf>
    <xf numFmtId="1" fontId="0" fillId="3" borderId="5" xfId="2" applyNumberFormat="1" applyFont="1" applyFill="1" applyBorder="1" applyAlignment="1">
      <alignment horizontal="center" vertical="center"/>
    </xf>
    <xf numFmtId="0" fontId="0" fillId="3" borderId="0" xfId="2" applyFont="1" applyFill="1" applyBorder="1" applyAlignment="1">
      <alignment horizontal="center" vertical="center"/>
    </xf>
    <xf numFmtId="3" fontId="0" fillId="3" borderId="0" xfId="2" applyNumberFormat="1" applyFont="1" applyFill="1" applyBorder="1" applyAlignment="1">
      <alignment horizontal="center" vertical="center"/>
    </xf>
    <xf numFmtId="2" fontId="0" fillId="3" borderId="4" xfId="2" applyNumberFormat="1" applyFont="1" applyFill="1" applyBorder="1" applyAlignment="1">
      <alignment horizontal="center" vertical="center"/>
    </xf>
    <xf numFmtId="1" fontId="0" fillId="0" borderId="4" xfId="0" applyNumberFormat="1" applyFont="1" applyBorder="1" applyAlignment="1">
      <alignment horizontal="center" vertical="center"/>
    </xf>
    <xf numFmtId="2" fontId="0" fillId="0" borderId="0" xfId="0" applyNumberFormat="1" applyFont="1" applyBorder="1" applyAlignment="1">
      <alignment horizontal="center" vertical="center"/>
    </xf>
    <xf numFmtId="1" fontId="0" fillId="0" borderId="0" xfId="0" applyNumberFormat="1" applyFont="1" applyBorder="1" applyAlignment="1">
      <alignment horizontal="center" vertical="center"/>
    </xf>
    <xf numFmtId="3" fontId="0" fillId="0" borderId="0" xfId="0" applyNumberFormat="1" applyFont="1" applyBorder="1" applyAlignment="1">
      <alignment horizontal="center" vertical="center"/>
    </xf>
    <xf numFmtId="3" fontId="0" fillId="0" borderId="5" xfId="0" applyNumberFormat="1" applyFont="1" applyBorder="1" applyAlignment="1">
      <alignment horizontal="center" vertical="center"/>
    </xf>
    <xf numFmtId="0" fontId="0" fillId="5" borderId="6" xfId="2" applyFont="1" applyFill="1" applyBorder="1" applyAlignment="1">
      <alignment horizontal="center" vertical="center"/>
    </xf>
    <xf numFmtId="2" fontId="0" fillId="5" borderId="7" xfId="2" applyNumberFormat="1" applyFont="1" applyFill="1" applyBorder="1" applyAlignment="1">
      <alignment horizontal="center" vertical="center"/>
    </xf>
    <xf numFmtId="2" fontId="0" fillId="5" borderId="8" xfId="2" applyNumberFormat="1" applyFont="1" applyFill="1" applyBorder="1" applyAlignment="1">
      <alignment horizontal="center" vertical="center"/>
    </xf>
    <xf numFmtId="1" fontId="0" fillId="5" borderId="7" xfId="2" applyNumberFormat="1" applyFont="1" applyFill="1" applyBorder="1" applyAlignment="1">
      <alignment horizontal="center" vertical="center"/>
    </xf>
    <xf numFmtId="1" fontId="0" fillId="5" borderId="8" xfId="2" applyNumberFormat="1" applyFont="1" applyFill="1" applyBorder="1" applyAlignment="1">
      <alignment horizontal="center" vertical="center"/>
    </xf>
    <xf numFmtId="0" fontId="0" fillId="5" borderId="7" xfId="2" applyFont="1" applyFill="1" applyBorder="1" applyAlignment="1">
      <alignment horizontal="center" vertical="center"/>
    </xf>
    <xf numFmtId="3" fontId="0" fillId="5" borderId="7" xfId="2" applyNumberFormat="1" applyFont="1" applyFill="1" applyBorder="1" applyAlignment="1">
      <alignment horizontal="center" vertical="center"/>
    </xf>
    <xf numFmtId="2" fontId="0" fillId="5" borderId="6" xfId="2" applyNumberFormat="1" applyFont="1" applyFill="1" applyBorder="1" applyAlignment="1">
      <alignment horizontal="center" vertical="center"/>
    </xf>
    <xf numFmtId="1" fontId="0" fillId="5" borderId="6" xfId="0" applyNumberFormat="1" applyFont="1" applyFill="1" applyBorder="1" applyAlignment="1">
      <alignment horizontal="center" vertical="center"/>
    </xf>
    <xf numFmtId="2" fontId="0" fillId="5" borderId="7" xfId="0" applyNumberFormat="1" applyFont="1" applyFill="1" applyBorder="1" applyAlignment="1">
      <alignment horizontal="center" vertical="center"/>
    </xf>
    <xf numFmtId="1" fontId="0" fillId="5" borderId="7" xfId="0" applyNumberFormat="1" applyFont="1" applyFill="1" applyBorder="1" applyAlignment="1">
      <alignment horizontal="center" vertical="center"/>
    </xf>
    <xf numFmtId="3" fontId="0" fillId="5" borderId="7" xfId="0" applyNumberFormat="1" applyFont="1" applyFill="1" applyBorder="1" applyAlignment="1">
      <alignment horizontal="center" vertical="center"/>
    </xf>
    <xf numFmtId="3" fontId="0" fillId="5" borderId="8" xfId="0" applyNumberFormat="1" applyFont="1" applyFill="1" applyBorder="1" applyAlignment="1">
      <alignment horizontal="center" vertical="center"/>
    </xf>
    <xf numFmtId="2" fontId="0" fillId="3" borderId="2" xfId="2" applyNumberFormat="1" applyFont="1" applyFill="1" applyBorder="1" applyAlignment="1">
      <alignment horizontal="center" vertical="center"/>
    </xf>
    <xf numFmtId="1" fontId="0" fillId="3" borderId="1" xfId="2" applyNumberFormat="1" applyFont="1" applyFill="1" applyBorder="1" applyAlignment="1">
      <alignment horizontal="center" vertical="center"/>
    </xf>
    <xf numFmtId="1" fontId="0" fillId="5" borderId="4" xfId="2" applyNumberFormat="1" applyFont="1" applyFill="1" applyBorder="1" applyAlignment="1">
      <alignment horizontal="center" vertical="center"/>
    </xf>
    <xf numFmtId="1" fontId="0" fillId="3" borderId="4" xfId="2" applyNumberFormat="1" applyFont="1" applyFill="1" applyBorder="1" applyAlignment="1">
      <alignment horizontal="center" vertical="center"/>
    </xf>
    <xf numFmtId="1" fontId="0" fillId="5" borderId="6" xfId="2" applyNumberFormat="1" applyFont="1" applyFill="1" applyBorder="1" applyAlignment="1">
      <alignment horizontal="center" vertical="center"/>
    </xf>
    <xf numFmtId="0" fontId="33" fillId="2" borderId="0" xfId="0" applyFont="1" applyFill="1" applyBorder="1" applyAlignment="1">
      <alignment horizontal="left" vertical="center"/>
    </xf>
    <xf numFmtId="0" fontId="12" fillId="2" borderId="4" xfId="0" applyFont="1" applyFill="1" applyBorder="1" applyAlignment="1">
      <alignment horizontal="left" vertical="center"/>
    </xf>
    <xf numFmtId="0" fontId="0" fillId="2" borderId="0" xfId="2" applyFont="1" applyFill="1" applyBorder="1" applyAlignment="1">
      <alignment horizontal="left" vertical="center"/>
    </xf>
    <xf numFmtId="0" fontId="0" fillId="2" borderId="0" xfId="0" applyFont="1" applyFill="1" applyBorder="1" applyAlignment="1">
      <alignment horizontal="left" vertical="center"/>
    </xf>
    <xf numFmtId="0" fontId="0" fillId="2" borderId="5" xfId="2" applyFont="1" applyFill="1" applyBorder="1" applyAlignment="1">
      <alignment horizontal="left" vertical="center" indent="2"/>
    </xf>
    <xf numFmtId="0" fontId="0" fillId="2" borderId="4" xfId="2" applyFont="1" applyFill="1" applyBorder="1" applyAlignment="1">
      <alignment horizontal="left" vertical="center"/>
    </xf>
    <xf numFmtId="0" fontId="12" fillId="5" borderId="15" xfId="0" applyFont="1" applyFill="1" applyBorder="1" applyAlignment="1">
      <alignment horizontal="center" vertical="center"/>
    </xf>
    <xf numFmtId="0" fontId="0" fillId="2" borderId="4" xfId="0" applyFont="1" applyFill="1" applyBorder="1" applyAlignment="1">
      <alignment horizontal="left" vertical="center"/>
    </xf>
    <xf numFmtId="0" fontId="0" fillId="2" borderId="6" xfId="0" applyFont="1" applyFill="1" applyBorder="1" applyAlignment="1">
      <alignment horizontal="left" vertical="center"/>
    </xf>
    <xf numFmtId="0" fontId="0" fillId="2" borderId="7" xfId="2" applyFont="1" applyFill="1" applyBorder="1" applyAlignment="1">
      <alignment horizontal="left" vertical="center"/>
    </xf>
    <xf numFmtId="0" fontId="0" fillId="2" borderId="7" xfId="0" applyFont="1" applyFill="1" applyBorder="1" applyAlignment="1">
      <alignment horizontal="left" vertical="center"/>
    </xf>
    <xf numFmtId="0" fontId="0" fillId="2" borderId="8" xfId="2" applyFont="1" applyFill="1" applyBorder="1" applyAlignment="1">
      <alignment horizontal="left" vertical="center" indent="2"/>
    </xf>
    <xf numFmtId="0" fontId="33" fillId="0" borderId="0" xfId="0" applyFont="1" applyAlignment="1">
      <alignment horizontal="left" vertical="center"/>
    </xf>
    <xf numFmtId="0" fontId="33" fillId="2" borderId="2" xfId="0" applyFont="1" applyFill="1" applyBorder="1" applyAlignment="1">
      <alignment horizontal="left" vertical="center"/>
    </xf>
    <xf numFmtId="0" fontId="33" fillId="0" borderId="10" xfId="0" applyFont="1" applyBorder="1" applyAlignment="1">
      <alignment horizontal="left" vertical="center"/>
    </xf>
    <xf numFmtId="0" fontId="32" fillId="2" borderId="1" xfId="0" applyFont="1" applyFill="1" applyBorder="1" applyAlignment="1">
      <alignment horizontal="left" vertical="center" indent="1"/>
    </xf>
    <xf numFmtId="0" fontId="33" fillId="2" borderId="4" xfId="0" applyFont="1" applyFill="1" applyBorder="1" applyAlignment="1">
      <alignment horizontal="left" vertical="center" indent="1"/>
    </xf>
    <xf numFmtId="0" fontId="0" fillId="2" borderId="4" xfId="0" applyFill="1" applyBorder="1" applyAlignment="1">
      <alignment vertical="center"/>
    </xf>
    <xf numFmtId="0" fontId="0" fillId="2" borderId="0" xfId="0" applyFill="1" applyBorder="1" applyAlignment="1">
      <alignment vertical="center"/>
    </xf>
    <xf numFmtId="0" fontId="0" fillId="2" borderId="5" xfId="0" applyFill="1" applyBorder="1" applyAlignment="1">
      <alignment vertical="center"/>
    </xf>
    <xf numFmtId="0" fontId="0" fillId="2" borderId="6" xfId="0" applyFill="1" applyBorder="1" applyAlignment="1">
      <alignment vertical="center"/>
    </xf>
    <xf numFmtId="0" fontId="0" fillId="2" borderId="7" xfId="0" applyFill="1" applyBorder="1" applyAlignment="1">
      <alignment vertical="center"/>
    </xf>
    <xf numFmtId="0" fontId="0" fillId="2" borderId="8" xfId="0" applyFill="1" applyBorder="1" applyAlignment="1">
      <alignment vertical="center"/>
    </xf>
    <xf numFmtId="0" fontId="0" fillId="2" borderId="1" xfId="0" applyFill="1" applyBorder="1" applyAlignment="1">
      <alignment vertical="center"/>
    </xf>
    <xf numFmtId="0" fontId="0" fillId="2" borderId="2" xfId="0" applyFill="1" applyBorder="1" applyAlignment="1">
      <alignment vertical="center"/>
    </xf>
    <xf numFmtId="0" fontId="0" fillId="2" borderId="3" xfId="0" applyFill="1" applyBorder="1" applyAlignment="1">
      <alignment vertical="center"/>
    </xf>
    <xf numFmtId="9" fontId="9" fillId="0" borderId="0" xfId="0" applyNumberFormat="1" applyFont="1" applyAlignment="1">
      <alignment horizontal="center" vertical="center"/>
    </xf>
    <xf numFmtId="0" fontId="3" fillId="2" borderId="0" xfId="0" applyFont="1" applyFill="1" applyBorder="1" applyAlignment="1">
      <alignment horizontal="left" vertical="center"/>
    </xf>
    <xf numFmtId="0" fontId="3" fillId="2" borderId="5" xfId="0" applyFont="1" applyFill="1" applyBorder="1" applyAlignment="1">
      <alignment horizontal="left" vertical="center"/>
    </xf>
    <xf numFmtId="0" fontId="3" fillId="2" borderId="8" xfId="0" applyFont="1" applyFill="1" applyBorder="1" applyAlignment="1">
      <alignment horizontal="left" vertical="center"/>
    </xf>
    <xf numFmtId="9" fontId="0" fillId="0" borderId="1" xfId="1" applyFont="1" applyBorder="1" applyAlignment="1">
      <alignment horizontal="center" vertical="center"/>
    </xf>
    <xf numFmtId="9" fontId="0" fillId="0" borderId="2" xfId="1" applyFont="1" applyBorder="1" applyAlignment="1">
      <alignment horizontal="center" vertical="center"/>
    </xf>
    <xf numFmtId="9" fontId="0" fillId="0" borderId="9" xfId="1" applyFont="1" applyBorder="1" applyAlignment="1">
      <alignment horizontal="center" vertical="center"/>
    </xf>
    <xf numFmtId="9" fontId="0" fillId="5" borderId="4" xfId="1" applyFont="1" applyFill="1" applyBorder="1" applyAlignment="1">
      <alignment horizontal="center" vertical="center"/>
    </xf>
    <xf numFmtId="9" fontId="0" fillId="5" borderId="0" xfId="1" applyFont="1" applyFill="1" applyBorder="1" applyAlignment="1">
      <alignment horizontal="center" vertical="center"/>
    </xf>
    <xf numFmtId="9" fontId="0" fillId="5" borderId="10" xfId="1" applyFont="1" applyFill="1" applyBorder="1" applyAlignment="1">
      <alignment horizontal="center" vertical="center"/>
    </xf>
    <xf numFmtId="9" fontId="0" fillId="0" borderId="4" xfId="1" applyFont="1" applyBorder="1" applyAlignment="1">
      <alignment horizontal="center" vertical="center"/>
    </xf>
    <xf numFmtId="9" fontId="0" fillId="0" borderId="0" xfId="1" applyFont="1" applyBorder="1" applyAlignment="1">
      <alignment horizontal="center" vertical="center"/>
    </xf>
    <xf numFmtId="9" fontId="0" fillId="0" borderId="10" xfId="1" applyFont="1" applyBorder="1" applyAlignment="1">
      <alignment horizontal="center" vertical="center"/>
    </xf>
    <xf numFmtId="9" fontId="0" fillId="0" borderId="6" xfId="1" applyFont="1" applyBorder="1" applyAlignment="1">
      <alignment horizontal="center" vertical="center"/>
    </xf>
    <xf numFmtId="9" fontId="0" fillId="0" borderId="7" xfId="1" applyFont="1" applyBorder="1" applyAlignment="1">
      <alignment horizontal="center" vertical="center"/>
    </xf>
    <xf numFmtId="9" fontId="0" fillId="0" borderId="11" xfId="1" applyFont="1" applyBorder="1" applyAlignment="1">
      <alignment horizontal="center" vertical="center"/>
    </xf>
    <xf numFmtId="0" fontId="32" fillId="2" borderId="9" xfId="0" applyFont="1" applyFill="1" applyBorder="1" applyAlignment="1">
      <alignment horizontal="center" vertical="center"/>
    </xf>
    <xf numFmtId="0" fontId="33" fillId="2" borderId="10" xfId="0" applyFont="1" applyFill="1" applyBorder="1" applyAlignment="1">
      <alignment horizontal="left" vertical="center" indent="1"/>
    </xf>
    <xf numFmtId="0" fontId="25" fillId="3" borderId="0" xfId="2" applyFont="1" applyFill="1" applyAlignment="1">
      <alignment horizontal="center" vertical="center"/>
    </xf>
    <xf numFmtId="0" fontId="0" fillId="2" borderId="5" xfId="2" applyFont="1" applyFill="1" applyBorder="1" applyAlignment="1">
      <alignment horizontal="left" vertical="center" indent="1"/>
    </xf>
    <xf numFmtId="0" fontId="0" fillId="2" borderId="4" xfId="0" applyFont="1" applyFill="1" applyBorder="1" applyAlignment="1">
      <alignment horizontal="left" vertical="center" indent="1"/>
    </xf>
    <xf numFmtId="0" fontId="0" fillId="2" borderId="6" xfId="0" applyFont="1" applyFill="1" applyBorder="1" applyAlignment="1">
      <alignment horizontal="left" vertical="center" indent="1"/>
    </xf>
    <xf numFmtId="0" fontId="0" fillId="0" borderId="0" xfId="0" applyFont="1" applyAlignment="1">
      <alignment vertical="center"/>
    </xf>
    <xf numFmtId="4" fontId="0" fillId="0" borderId="2" xfId="0" applyNumberFormat="1" applyFont="1" applyBorder="1" applyAlignment="1">
      <alignment horizontal="center" vertical="center"/>
    </xf>
    <xf numFmtId="4" fontId="0" fillId="0" borderId="3" xfId="0" applyNumberFormat="1" applyFont="1" applyBorder="1" applyAlignment="1">
      <alignment horizontal="center" vertical="center"/>
    </xf>
    <xf numFmtId="1" fontId="0" fillId="0" borderId="0" xfId="0" applyNumberFormat="1" applyFont="1" applyAlignment="1">
      <alignment horizontal="center" vertical="center"/>
    </xf>
    <xf numFmtId="0" fontId="12" fillId="2" borderId="4" xfId="0" applyFont="1" applyFill="1" applyBorder="1" applyAlignment="1">
      <alignment horizontal="left" vertical="center" indent="1"/>
    </xf>
    <xf numFmtId="4" fontId="0" fillId="5" borderId="4" xfId="0" applyNumberFormat="1" applyFont="1" applyFill="1" applyBorder="1" applyAlignment="1">
      <alignment horizontal="center" vertical="center"/>
    </xf>
    <xf numFmtId="4" fontId="0" fillId="5" borderId="0" xfId="0" applyNumberFormat="1" applyFont="1" applyFill="1" applyBorder="1" applyAlignment="1">
      <alignment horizontal="center" vertical="center"/>
    </xf>
    <xf numFmtId="4" fontId="0" fillId="5" borderId="5" xfId="0" applyNumberFormat="1" applyFont="1" applyFill="1" applyBorder="1" applyAlignment="1">
      <alignment horizontal="center" vertical="center"/>
    </xf>
    <xf numFmtId="4" fontId="0" fillId="0" borderId="4" xfId="0" applyNumberFormat="1" applyFont="1" applyBorder="1" applyAlignment="1">
      <alignment horizontal="center" vertical="center"/>
    </xf>
    <xf numFmtId="4" fontId="0" fillId="0" borderId="0" xfId="0" applyNumberFormat="1" applyFont="1" applyBorder="1" applyAlignment="1">
      <alignment horizontal="center" vertical="center"/>
    </xf>
    <xf numFmtId="4" fontId="0" fillId="0" borderId="5" xfId="0" applyNumberFormat="1" applyFont="1" applyBorder="1" applyAlignment="1">
      <alignment horizontal="center" vertical="center"/>
    </xf>
    <xf numFmtId="0" fontId="0" fillId="2" borderId="4" xfId="2" applyFont="1" applyFill="1" applyBorder="1" applyAlignment="1">
      <alignment horizontal="left" vertical="center" indent="1"/>
    </xf>
    <xf numFmtId="0" fontId="0" fillId="2" borderId="8" xfId="2" applyFont="1" applyFill="1" applyBorder="1" applyAlignment="1">
      <alignment horizontal="left" vertical="center" indent="1"/>
    </xf>
    <xf numFmtId="0" fontId="0" fillId="0" borderId="0" xfId="0" applyFont="1" applyAlignment="1">
      <alignment horizontal="left" vertical="center" indent="1"/>
    </xf>
    <xf numFmtId="0" fontId="0" fillId="3" borderId="6" xfId="2" applyFont="1" applyFill="1" applyBorder="1" applyAlignment="1">
      <alignment horizontal="center" vertical="center"/>
    </xf>
    <xf numFmtId="0" fontId="0" fillId="3" borderId="7" xfId="2" applyFont="1" applyFill="1" applyBorder="1" applyAlignment="1">
      <alignment horizontal="center" vertical="center"/>
    </xf>
    <xf numFmtId="2" fontId="0" fillId="3" borderId="7" xfId="2" applyNumberFormat="1" applyFont="1" applyFill="1" applyBorder="1" applyAlignment="1">
      <alignment horizontal="center" vertical="center"/>
    </xf>
    <xf numFmtId="1" fontId="0" fillId="3" borderId="7" xfId="2" applyNumberFormat="1" applyFont="1" applyFill="1" applyBorder="1" applyAlignment="1">
      <alignment horizontal="center" vertical="center"/>
    </xf>
    <xf numFmtId="3" fontId="0" fillId="3" borderId="7" xfId="2" applyNumberFormat="1" applyFont="1" applyFill="1" applyBorder="1" applyAlignment="1">
      <alignment horizontal="center" vertical="center"/>
    </xf>
    <xf numFmtId="2" fontId="0" fillId="3" borderId="8" xfId="2" applyNumberFormat="1" applyFont="1" applyFill="1" applyBorder="1" applyAlignment="1">
      <alignment horizontal="center" vertical="center"/>
    </xf>
    <xf numFmtId="4" fontId="0" fillId="0" borderId="7" xfId="0" applyNumberFormat="1" applyFont="1" applyBorder="1" applyAlignment="1">
      <alignment horizontal="center" vertical="center"/>
    </xf>
    <xf numFmtId="0" fontId="0" fillId="3" borderId="0" xfId="2" applyFont="1" applyFill="1" applyAlignment="1">
      <alignment horizontal="center" vertical="center"/>
    </xf>
    <xf numFmtId="1" fontId="0" fillId="3" borderId="0" xfId="2" applyNumberFormat="1" applyFont="1" applyFill="1" applyAlignment="1">
      <alignment horizontal="center" vertical="center"/>
    </xf>
    <xf numFmtId="3" fontId="0" fillId="3" borderId="0" xfId="2" applyNumberFormat="1" applyFont="1" applyFill="1" applyAlignment="1">
      <alignment horizontal="center" vertical="center"/>
    </xf>
    <xf numFmtId="2" fontId="0" fillId="3" borderId="0" xfId="2" applyNumberFormat="1" applyFont="1" applyFill="1" applyAlignment="1">
      <alignment horizontal="center" vertical="center"/>
    </xf>
    <xf numFmtId="0" fontId="0" fillId="0" borderId="0" xfId="0" applyFont="1" applyAlignment="1">
      <alignment horizontal="center" vertical="center"/>
    </xf>
    <xf numFmtId="0" fontId="0" fillId="0" borderId="0" xfId="0" applyFont="1" applyAlignment="1">
      <alignment horizontal="left" indent="1"/>
    </xf>
    <xf numFmtId="0" fontId="0" fillId="0" borderId="0" xfId="0" applyFont="1"/>
    <xf numFmtId="0" fontId="0" fillId="3" borderId="0" xfId="2" applyFont="1" applyFill="1" applyAlignment="1">
      <alignment horizontal="center"/>
    </xf>
    <xf numFmtId="1" fontId="0" fillId="3" borderId="0" xfId="2" applyNumberFormat="1" applyFont="1" applyFill="1" applyAlignment="1">
      <alignment horizontal="center"/>
    </xf>
    <xf numFmtId="3" fontId="0" fillId="3" borderId="0" xfId="2" applyNumberFormat="1" applyFont="1" applyFill="1" applyAlignment="1">
      <alignment horizontal="center"/>
    </xf>
    <xf numFmtId="2" fontId="0" fillId="3" borderId="0" xfId="2" applyNumberFormat="1" applyFont="1" applyFill="1" applyAlignment="1">
      <alignment horizontal="center"/>
    </xf>
    <xf numFmtId="1" fontId="0" fillId="0" borderId="0" xfId="0" applyNumberFormat="1" applyFont="1" applyAlignment="1">
      <alignment horizontal="center"/>
    </xf>
    <xf numFmtId="2" fontId="0" fillId="0" borderId="0" xfId="0" applyNumberFormat="1" applyFont="1" applyAlignment="1">
      <alignment horizontal="center"/>
    </xf>
    <xf numFmtId="3" fontId="0" fillId="0" borderId="0" xfId="0" applyNumberFormat="1" applyFont="1" applyAlignment="1">
      <alignment horizontal="center"/>
    </xf>
    <xf numFmtId="0" fontId="0" fillId="0" borderId="0" xfId="0" applyFont="1" applyAlignment="1">
      <alignment horizontal="center"/>
    </xf>
    <xf numFmtId="0" fontId="24" fillId="0" borderId="0" xfId="4" applyFont="1" applyAlignment="1">
      <alignment horizontal="left" vertical="center"/>
    </xf>
    <xf numFmtId="0" fontId="32" fillId="2" borderId="1" xfId="0" applyFont="1" applyFill="1" applyBorder="1" applyAlignment="1">
      <alignment horizontal="left" vertical="center" indent="2"/>
    </xf>
    <xf numFmtId="0" fontId="33" fillId="2" borderId="2" xfId="2" applyFont="1" applyFill="1" applyBorder="1" applyAlignment="1">
      <alignment horizontal="left" vertical="center"/>
    </xf>
    <xf numFmtId="0" fontId="33" fillId="2" borderId="2" xfId="0" applyFont="1" applyFill="1" applyBorder="1" applyAlignment="1">
      <alignment horizontal="left" vertical="center" indent="1"/>
    </xf>
    <xf numFmtId="0" fontId="33" fillId="2" borderId="3" xfId="2" applyFont="1" applyFill="1" applyBorder="1" applyAlignment="1">
      <alignment horizontal="left" vertical="center" indent="1"/>
    </xf>
    <xf numFmtId="0" fontId="32" fillId="2" borderId="4" xfId="0" applyFont="1" applyFill="1" applyBorder="1" applyAlignment="1">
      <alignment horizontal="left" vertical="center" indent="2"/>
    </xf>
    <xf numFmtId="0" fontId="33" fillId="2" borderId="0" xfId="2" applyFont="1" applyFill="1" applyBorder="1" applyAlignment="1">
      <alignment horizontal="left" vertical="center"/>
    </xf>
    <xf numFmtId="0" fontId="33" fillId="2" borderId="0" xfId="0" applyFont="1" applyFill="1" applyBorder="1" applyAlignment="1">
      <alignment horizontal="left" vertical="center" indent="1"/>
    </xf>
    <xf numFmtId="0" fontId="33" fillId="2" borderId="5" xfId="2" applyFont="1" applyFill="1" applyBorder="1" applyAlignment="1">
      <alignment horizontal="left" vertical="center" indent="1"/>
    </xf>
    <xf numFmtId="0" fontId="32" fillId="2" borderId="6" xfId="0" applyFont="1" applyFill="1" applyBorder="1" applyAlignment="1">
      <alignment horizontal="left" vertical="top" indent="2"/>
    </xf>
    <xf numFmtId="0" fontId="33" fillId="2" borderId="7" xfId="2" applyFont="1" applyFill="1" applyBorder="1" applyAlignment="1">
      <alignment horizontal="left" vertical="top"/>
    </xf>
    <xf numFmtId="0" fontId="33" fillId="2" borderId="3" xfId="0" applyFont="1" applyFill="1" applyBorder="1" applyAlignment="1">
      <alignment horizontal="left" vertical="center"/>
    </xf>
    <xf numFmtId="0" fontId="34" fillId="2" borderId="4" xfId="0" applyFont="1" applyFill="1" applyBorder="1" applyAlignment="1">
      <alignment horizontal="left" vertical="center" indent="1"/>
    </xf>
    <xf numFmtId="0" fontId="33" fillId="2" borderId="5" xfId="2" applyFont="1" applyFill="1" applyBorder="1" applyAlignment="1">
      <alignment horizontal="left" vertical="center"/>
    </xf>
    <xf numFmtId="0" fontId="35" fillId="2" borderId="4" xfId="0" applyFont="1" applyFill="1" applyBorder="1" applyAlignment="1">
      <alignment horizontal="left" vertical="center" indent="1"/>
    </xf>
    <xf numFmtId="0" fontId="33" fillId="2" borderId="6" xfId="0" applyFont="1" applyFill="1" applyBorder="1" applyAlignment="1">
      <alignment horizontal="left" vertical="center" indent="1"/>
    </xf>
    <xf numFmtId="0" fontId="33" fillId="2" borderId="7" xfId="2" applyFont="1" applyFill="1" applyBorder="1" applyAlignment="1">
      <alignment horizontal="left" vertical="center"/>
    </xf>
    <xf numFmtId="0" fontId="33" fillId="2" borderId="8" xfId="2" applyFont="1" applyFill="1" applyBorder="1" applyAlignment="1">
      <alignment horizontal="left" vertical="center"/>
    </xf>
    <xf numFmtId="0" fontId="36" fillId="2" borderId="6" xfId="0" applyFont="1" applyFill="1" applyBorder="1" applyAlignment="1">
      <alignment horizontal="left" vertical="center" indent="1"/>
    </xf>
    <xf numFmtId="0" fontId="33" fillId="2" borderId="7" xfId="0" applyFont="1" applyFill="1" applyBorder="1" applyAlignment="1">
      <alignment horizontal="left" vertical="center"/>
    </xf>
    <xf numFmtId="17" fontId="33" fillId="2" borderId="0" xfId="0" applyNumberFormat="1" applyFont="1" applyFill="1" applyBorder="1" applyAlignment="1">
      <alignment horizontal="left" vertical="center"/>
    </xf>
    <xf numFmtId="0" fontId="37" fillId="0" borderId="0" xfId="0" applyFont="1" applyAlignment="1">
      <alignment horizontal="left" vertical="center"/>
    </xf>
    <xf numFmtId="0" fontId="25" fillId="0" borderId="0" xfId="0" applyFont="1" applyAlignment="1">
      <alignment vertical="center"/>
    </xf>
    <xf numFmtId="0" fontId="25" fillId="0" borderId="0" xfId="0" applyFont="1"/>
    <xf numFmtId="0" fontId="0" fillId="0" borderId="0" xfId="0" applyFont="1" applyBorder="1" applyAlignment="1">
      <alignment horizontal="center" vertical="center"/>
    </xf>
    <xf numFmtId="0" fontId="0" fillId="0" borderId="0" xfId="0" applyFont="1" applyBorder="1" applyAlignment="1">
      <alignment horizontal="center"/>
    </xf>
    <xf numFmtId="9" fontId="25" fillId="3" borderId="0" xfId="1" applyFont="1" applyFill="1" applyBorder="1" applyAlignment="1">
      <alignment horizontal="center" vertical="center"/>
    </xf>
    <xf numFmtId="0" fontId="25" fillId="0" borderId="0" xfId="0" applyFont="1" applyBorder="1"/>
    <xf numFmtId="1" fontId="0" fillId="0" borderId="0" xfId="0" applyNumberFormat="1" applyFont="1" applyBorder="1" applyAlignment="1">
      <alignment horizontal="center"/>
    </xf>
    <xf numFmtId="2" fontId="0" fillId="0" borderId="0" xfId="0" applyNumberFormat="1" applyFont="1" applyBorder="1" applyAlignment="1">
      <alignment horizontal="center"/>
    </xf>
    <xf numFmtId="3" fontId="0" fillId="0" borderId="0" xfId="0" applyNumberFormat="1" applyFont="1" applyBorder="1" applyAlignment="1">
      <alignment horizontal="center"/>
    </xf>
    <xf numFmtId="0" fontId="0" fillId="0" borderId="2" xfId="0" applyFont="1" applyBorder="1" applyAlignment="1">
      <alignment horizontal="center" vertical="center"/>
    </xf>
    <xf numFmtId="9" fontId="12" fillId="5" borderId="5" xfId="1" applyNumberFormat="1" applyFont="1" applyFill="1" applyBorder="1" applyAlignment="1">
      <alignment horizontal="center" vertical="center"/>
    </xf>
    <xf numFmtId="0" fontId="12" fillId="4" borderId="1" xfId="0" applyFont="1" applyFill="1" applyBorder="1" applyAlignment="1">
      <alignment horizontal="center" vertical="center"/>
    </xf>
    <xf numFmtId="9" fontId="0" fillId="0" borderId="6" xfId="1" applyFont="1" applyBorder="1" applyAlignment="1">
      <alignment horizontal="center" vertical="center"/>
    </xf>
    <xf numFmtId="0" fontId="25" fillId="3" borderId="0" xfId="0" applyFont="1" applyFill="1" applyAlignment="1">
      <alignment horizontal="left" vertical="center" indent="1"/>
    </xf>
    <xf numFmtId="0" fontId="0" fillId="4" borderId="4" xfId="0" applyFont="1" applyFill="1" applyBorder="1" applyAlignment="1">
      <alignment horizontal="center" vertical="center"/>
    </xf>
    <xf numFmtId="9" fontId="38" fillId="3" borderId="10" xfId="1" applyFont="1" applyFill="1" applyBorder="1" applyAlignment="1">
      <alignment horizontal="center" vertical="center" wrapText="1"/>
    </xf>
    <xf numFmtId="13" fontId="0" fillId="5" borderId="4" xfId="1" applyNumberFormat="1" applyFont="1" applyFill="1" applyBorder="1" applyAlignment="1">
      <alignment horizontal="center" vertical="center"/>
    </xf>
    <xf numFmtId="13" fontId="0" fillId="0" borderId="1" xfId="1" applyNumberFormat="1" applyFont="1" applyBorder="1" applyAlignment="1">
      <alignment horizontal="center" vertical="center"/>
    </xf>
    <xf numFmtId="49" fontId="0" fillId="4" borderId="6" xfId="0" applyNumberFormat="1" applyFont="1" applyFill="1" applyBorder="1" applyAlignment="1">
      <alignment horizontal="center" vertical="center"/>
    </xf>
    <xf numFmtId="0" fontId="37" fillId="0" borderId="10" xfId="0" applyFont="1" applyBorder="1" applyAlignment="1">
      <alignment horizontal="left" vertical="center"/>
    </xf>
    <xf numFmtId="1" fontId="0" fillId="0" borderId="10" xfId="0" applyNumberFormat="1" applyFont="1" applyBorder="1" applyAlignment="1">
      <alignment horizontal="center" vertical="center"/>
    </xf>
    <xf numFmtId="13" fontId="0" fillId="3" borderId="4" xfId="1" applyNumberFormat="1" applyFont="1" applyFill="1" applyBorder="1" applyAlignment="1">
      <alignment horizontal="center" vertical="center"/>
    </xf>
    <xf numFmtId="0" fontId="33" fillId="2" borderId="11" xfId="0" applyFont="1" applyFill="1" applyBorder="1" applyAlignment="1">
      <alignment horizontal="left" vertical="center" indent="1"/>
    </xf>
    <xf numFmtId="0" fontId="13" fillId="4" borderId="0" xfId="2" applyFont="1" applyFill="1" applyBorder="1" applyAlignment="1">
      <alignment horizontal="center" vertical="center"/>
    </xf>
    <xf numFmtId="0" fontId="13" fillId="4" borderId="4" xfId="2" applyFont="1" applyFill="1" applyBorder="1" applyAlignment="1">
      <alignment horizontal="center" vertical="center"/>
    </xf>
    <xf numFmtId="0" fontId="13" fillId="4" borderId="5" xfId="2" applyFont="1" applyFill="1" applyBorder="1" applyAlignment="1">
      <alignment horizontal="center" vertical="center"/>
    </xf>
    <xf numFmtId="0" fontId="13" fillId="4" borderId="7" xfId="2" applyFont="1" applyFill="1" applyBorder="1" applyAlignment="1">
      <alignment horizontal="center" vertical="center"/>
    </xf>
    <xf numFmtId="0" fontId="13" fillId="4" borderId="6" xfId="2" applyFont="1" applyFill="1" applyBorder="1" applyAlignment="1">
      <alignment horizontal="center" vertical="center"/>
    </xf>
    <xf numFmtId="0" fontId="13" fillId="4" borderId="8" xfId="2" applyFont="1" applyFill="1" applyBorder="1" applyAlignment="1">
      <alignment horizontal="center" vertical="center"/>
    </xf>
    <xf numFmtId="0" fontId="13" fillId="4" borderId="10" xfId="2" applyFont="1" applyFill="1" applyBorder="1" applyAlignment="1">
      <alignment horizontal="center" vertical="center"/>
    </xf>
    <xf numFmtId="0" fontId="13" fillId="4" borderId="11" xfId="2" applyFont="1" applyFill="1" applyBorder="1" applyAlignment="1">
      <alignment horizontal="center" vertical="center"/>
    </xf>
    <xf numFmtId="0" fontId="12" fillId="4" borderId="9" xfId="0" applyFont="1" applyFill="1" applyBorder="1" applyAlignment="1">
      <alignment horizontal="center" vertical="center"/>
    </xf>
    <xf numFmtId="9" fontId="25" fillId="0" borderId="0" xfId="1" applyFont="1" applyAlignment="1">
      <alignment horizontal="center" vertical="center"/>
    </xf>
    <xf numFmtId="0" fontId="11" fillId="0" borderId="0" xfId="0" applyFont="1" applyAlignment="1">
      <alignment horizontal="center"/>
    </xf>
    <xf numFmtId="165" fontId="11" fillId="0" borderId="0" xfId="0" applyNumberFormat="1" applyFont="1" applyAlignment="1">
      <alignment horizontal="center"/>
    </xf>
    <xf numFmtId="0" fontId="11" fillId="0" borderId="0" xfId="0" applyFont="1" applyAlignment="1">
      <alignment horizontal="left" vertical="top" wrapText="1"/>
    </xf>
    <xf numFmtId="0" fontId="15" fillId="0" borderId="0" xfId="0" applyFont="1" applyAlignment="1">
      <alignment horizontal="center"/>
    </xf>
    <xf numFmtId="1" fontId="11" fillId="0" borderId="0" xfId="0" applyNumberFormat="1" applyFont="1" applyAlignment="1">
      <alignment horizontal="center"/>
    </xf>
    <xf numFmtId="0" fontId="15" fillId="2" borderId="1" xfId="0" applyFont="1" applyFill="1" applyBorder="1" applyAlignment="1">
      <alignment horizontal="center" vertical="center"/>
    </xf>
    <xf numFmtId="0" fontId="15" fillId="2" borderId="2" xfId="0" applyFont="1" applyFill="1" applyBorder="1" applyAlignment="1">
      <alignment horizontal="center" vertical="center"/>
    </xf>
    <xf numFmtId="0" fontId="15" fillId="2" borderId="3" xfId="0" applyFont="1" applyFill="1" applyBorder="1" applyAlignment="1">
      <alignment horizontal="center" vertical="center"/>
    </xf>
    <xf numFmtId="0" fontId="12" fillId="4" borderId="1" xfId="0" applyFont="1" applyFill="1" applyBorder="1" applyAlignment="1">
      <alignment horizontal="center" vertical="center"/>
    </xf>
    <xf numFmtId="0" fontId="12" fillId="4" borderId="2" xfId="0" applyFont="1" applyFill="1" applyBorder="1" applyAlignment="1">
      <alignment horizontal="center" vertical="center"/>
    </xf>
    <xf numFmtId="0" fontId="33" fillId="2" borderId="3" xfId="4" applyFont="1" applyFill="1" applyBorder="1" applyAlignment="1">
      <alignment horizontal="center" vertical="center"/>
    </xf>
    <xf numFmtId="0" fontId="33" fillId="2" borderId="5" xfId="4" applyFont="1" applyFill="1" applyBorder="1" applyAlignment="1">
      <alignment horizontal="center" vertical="center"/>
    </xf>
    <xf numFmtId="0" fontId="32" fillId="2" borderId="5" xfId="0" applyFont="1" applyFill="1" applyBorder="1" applyAlignment="1">
      <alignment horizontal="center" vertical="center"/>
    </xf>
    <xf numFmtId="0" fontId="32" fillId="2" borderId="8" xfId="0" applyFont="1" applyFill="1" applyBorder="1" applyAlignment="1">
      <alignment horizontal="center" vertical="center"/>
    </xf>
    <xf numFmtId="0" fontId="12" fillId="4" borderId="3" xfId="0" applyFont="1" applyFill="1" applyBorder="1" applyAlignment="1">
      <alignment horizontal="center" vertical="center"/>
    </xf>
    <xf numFmtId="14" fontId="33" fillId="2" borderId="7" xfId="0" applyNumberFormat="1" applyFont="1" applyFill="1" applyBorder="1" applyAlignment="1">
      <alignment horizontal="left" vertical="top" indent="1"/>
    </xf>
    <xf numFmtId="14" fontId="33" fillId="2" borderId="8" xfId="0" applyNumberFormat="1" applyFont="1" applyFill="1" applyBorder="1" applyAlignment="1">
      <alignment horizontal="left" vertical="top" indent="1"/>
    </xf>
    <xf numFmtId="0" fontId="32" fillId="4" borderId="1" xfId="2" applyFont="1" applyFill="1" applyBorder="1" applyAlignment="1">
      <alignment horizontal="center" vertical="center" wrapText="1"/>
    </xf>
    <xf numFmtId="0" fontId="32" fillId="4" borderId="2" xfId="2" applyFont="1" applyFill="1" applyBorder="1" applyAlignment="1">
      <alignment horizontal="center" vertical="center" wrapText="1"/>
    </xf>
    <xf numFmtId="0" fontId="32" fillId="4" borderId="3" xfId="2" applyFont="1" applyFill="1" applyBorder="1" applyAlignment="1">
      <alignment horizontal="center" vertical="center" wrapText="1"/>
    </xf>
    <xf numFmtId="0" fontId="32" fillId="4" borderId="4" xfId="2" applyFont="1" applyFill="1" applyBorder="1" applyAlignment="1">
      <alignment horizontal="center" vertical="center" wrapText="1"/>
    </xf>
    <xf numFmtId="0" fontId="32" fillId="4" borderId="0" xfId="2" applyFont="1" applyFill="1" applyBorder="1" applyAlignment="1">
      <alignment horizontal="center" vertical="center" wrapText="1"/>
    </xf>
    <xf numFmtId="0" fontId="32" fillId="4" borderId="5" xfId="2" applyFont="1" applyFill="1" applyBorder="1" applyAlignment="1">
      <alignment horizontal="center" vertical="center" wrapText="1"/>
    </xf>
    <xf numFmtId="0" fontId="32" fillId="4" borderId="6" xfId="2" applyFont="1" applyFill="1" applyBorder="1" applyAlignment="1">
      <alignment horizontal="center" vertical="center" wrapText="1"/>
    </xf>
    <xf numFmtId="0" fontId="32" fillId="4" borderId="7" xfId="2" applyFont="1" applyFill="1" applyBorder="1" applyAlignment="1">
      <alignment horizontal="center" vertical="center" wrapText="1"/>
    </xf>
    <xf numFmtId="0" fontId="32" fillId="4" borderId="8" xfId="2" applyFont="1" applyFill="1" applyBorder="1" applyAlignment="1">
      <alignment horizontal="center" vertical="center" wrapText="1"/>
    </xf>
    <xf numFmtId="22" fontId="11" fillId="0" borderId="0" xfId="0" applyNumberFormat="1" applyFont="1" applyAlignment="1">
      <alignment horizontal="left"/>
    </xf>
    <xf numFmtId="0" fontId="18" fillId="2" borderId="3" xfId="4" applyFont="1" applyFill="1" applyBorder="1" applyAlignment="1">
      <alignment horizontal="center" vertical="center"/>
    </xf>
    <xf numFmtId="0" fontId="18" fillId="2" borderId="5" xfId="4" applyFont="1" applyFill="1" applyBorder="1" applyAlignment="1">
      <alignment horizontal="center" vertical="center"/>
    </xf>
    <xf numFmtId="0" fontId="15" fillId="2" borderId="5" xfId="0" applyFont="1" applyFill="1" applyBorder="1" applyAlignment="1">
      <alignment horizontal="center" vertical="center"/>
    </xf>
    <xf numFmtId="0" fontId="15" fillId="2" borderId="8" xfId="0" applyFont="1" applyFill="1" applyBorder="1" applyAlignment="1">
      <alignment horizontal="center" vertical="center"/>
    </xf>
    <xf numFmtId="0" fontId="27" fillId="4" borderId="1" xfId="0" applyFont="1" applyFill="1" applyBorder="1" applyAlignment="1">
      <alignment horizontal="center" vertical="center"/>
    </xf>
    <xf numFmtId="0" fontId="27" fillId="4" borderId="2" xfId="0" applyFont="1" applyFill="1" applyBorder="1" applyAlignment="1">
      <alignment horizontal="center" vertical="center"/>
    </xf>
    <xf numFmtId="0" fontId="27" fillId="4" borderId="3" xfId="0" applyFont="1" applyFill="1" applyBorder="1" applyAlignment="1">
      <alignment horizontal="center" vertical="center"/>
    </xf>
    <xf numFmtId="0" fontId="27" fillId="4" borderId="4" xfId="0" applyFont="1" applyFill="1" applyBorder="1" applyAlignment="1">
      <alignment horizontal="center" vertical="center"/>
    </xf>
    <xf numFmtId="0" fontId="27" fillId="4" borderId="0" xfId="0" applyFont="1" applyFill="1" applyBorder="1" applyAlignment="1">
      <alignment horizontal="center" vertical="center"/>
    </xf>
    <xf numFmtId="0" fontId="27" fillId="4" borderId="5" xfId="0" applyFont="1" applyFill="1" applyBorder="1" applyAlignment="1">
      <alignment horizontal="center" vertical="center"/>
    </xf>
    <xf numFmtId="0" fontId="27" fillId="4" borderId="6" xfId="0" applyFont="1" applyFill="1" applyBorder="1" applyAlignment="1">
      <alignment horizontal="center" vertical="center"/>
    </xf>
    <xf numFmtId="0" fontId="27" fillId="4" borderId="7" xfId="0" applyFont="1" applyFill="1" applyBorder="1" applyAlignment="1">
      <alignment horizontal="center" vertical="center"/>
    </xf>
    <xf numFmtId="0" fontId="27" fillId="4" borderId="8" xfId="0" applyFont="1" applyFill="1" applyBorder="1" applyAlignment="1">
      <alignment horizontal="center" vertical="center"/>
    </xf>
    <xf numFmtId="0" fontId="27" fillId="4" borderId="1" xfId="2" applyFont="1" applyFill="1" applyBorder="1" applyAlignment="1">
      <alignment horizontal="center" vertical="center" wrapText="1"/>
    </xf>
    <xf numFmtId="0" fontId="27" fillId="4" borderId="2" xfId="2" applyFont="1" applyFill="1" applyBorder="1" applyAlignment="1">
      <alignment horizontal="center" vertical="center" wrapText="1"/>
    </xf>
    <xf numFmtId="0" fontId="27" fillId="4" borderId="3" xfId="2" applyFont="1" applyFill="1" applyBorder="1" applyAlignment="1">
      <alignment horizontal="center" vertical="center" wrapText="1"/>
    </xf>
    <xf numFmtId="0" fontId="27" fillId="4" borderId="4" xfId="2" applyFont="1" applyFill="1" applyBorder="1" applyAlignment="1">
      <alignment horizontal="center" vertical="center" wrapText="1"/>
    </xf>
    <xf numFmtId="0" fontId="27" fillId="4" borderId="0" xfId="2" applyFont="1" applyFill="1" applyBorder="1" applyAlignment="1">
      <alignment horizontal="center" vertical="center" wrapText="1"/>
    </xf>
    <xf numFmtId="0" fontId="27" fillId="4" borderId="5" xfId="2" applyFont="1" applyFill="1" applyBorder="1" applyAlignment="1">
      <alignment horizontal="center" vertical="center" wrapText="1"/>
    </xf>
    <xf numFmtId="0" fontId="27" fillId="4" borderId="6" xfId="2" applyFont="1" applyFill="1" applyBorder="1" applyAlignment="1">
      <alignment horizontal="center" vertical="center" wrapText="1"/>
    </xf>
    <xf numFmtId="0" fontId="27" fillId="4" borderId="7" xfId="2" applyFont="1" applyFill="1" applyBorder="1" applyAlignment="1">
      <alignment horizontal="center" vertical="center" wrapText="1"/>
    </xf>
    <xf numFmtId="0" fontId="27" fillId="4" borderId="8" xfId="2" applyFont="1" applyFill="1" applyBorder="1" applyAlignment="1">
      <alignment horizontal="center" vertical="center" wrapText="1"/>
    </xf>
    <xf numFmtId="0" fontId="15" fillId="4" borderId="2" xfId="0" applyFont="1" applyFill="1" applyBorder="1" applyAlignment="1">
      <alignment horizontal="center" vertical="center"/>
    </xf>
    <xf numFmtId="22" fontId="9" fillId="2" borderId="7" xfId="0" applyNumberFormat="1" applyFont="1" applyFill="1" applyBorder="1" applyAlignment="1">
      <alignment horizontal="left" vertical="center" indent="1"/>
    </xf>
    <xf numFmtId="0" fontId="15" fillId="4" borderId="1" xfId="0" applyFont="1" applyFill="1" applyBorder="1" applyAlignment="1">
      <alignment horizontal="center" vertical="center"/>
    </xf>
    <xf numFmtId="0" fontId="15" fillId="4" borderId="3" xfId="0" applyFont="1" applyFill="1" applyBorder="1" applyAlignment="1">
      <alignment horizontal="center" vertical="center"/>
    </xf>
    <xf numFmtId="0" fontId="18" fillId="0" borderId="0" xfId="0" applyFont="1" applyAlignment="1">
      <alignment horizontal="center"/>
    </xf>
    <xf numFmtId="1" fontId="18" fillId="0" borderId="0" xfId="0" applyNumberFormat="1" applyFont="1" applyAlignment="1">
      <alignment horizontal="center" vertical="center"/>
    </xf>
    <xf numFmtId="0" fontId="11" fillId="0" borderId="0" xfId="0" applyFont="1" applyAlignment="1">
      <alignment horizontal="center"/>
    </xf>
    <xf numFmtId="0" fontId="11" fillId="0" borderId="0" xfId="0" applyFont="1" applyAlignment="1">
      <alignment horizontal="left" vertical="top" wrapText="1"/>
    </xf>
    <xf numFmtId="0" fontId="15" fillId="0" borderId="0" xfId="0" applyFont="1" applyAlignment="1">
      <alignment horizontal="center"/>
    </xf>
    <xf numFmtId="165" fontId="11" fillId="0" borderId="0" xfId="0" applyNumberFormat="1" applyFont="1" applyAlignment="1">
      <alignment horizontal="center"/>
    </xf>
    <xf numFmtId="0" fontId="11" fillId="2" borderId="2" xfId="0" applyFont="1" applyFill="1" applyBorder="1" applyAlignment="1">
      <alignment horizontal="center"/>
    </xf>
    <xf numFmtId="0" fontId="11" fillId="2" borderId="3" xfId="0" applyFont="1" applyFill="1" applyBorder="1" applyAlignment="1">
      <alignment horizontal="center"/>
    </xf>
    <xf numFmtId="0" fontId="11" fillId="2" borderId="6" xfId="0" applyFont="1" applyFill="1" applyBorder="1" applyAlignment="1">
      <alignment horizontal="center"/>
    </xf>
    <xf numFmtId="0" fontId="11" fillId="2" borderId="7" xfId="0" applyFont="1" applyFill="1" applyBorder="1" applyAlignment="1">
      <alignment horizontal="center"/>
    </xf>
    <xf numFmtId="166" fontId="21" fillId="2" borderId="7" xfId="0" applyNumberFormat="1" applyFont="1" applyFill="1" applyBorder="1" applyAlignment="1">
      <alignment horizontal="center"/>
    </xf>
    <xf numFmtId="0" fontId="21" fillId="2" borderId="7" xfId="0" applyFont="1" applyFill="1" applyBorder="1" applyAlignment="1">
      <alignment horizontal="center"/>
    </xf>
    <xf numFmtId="0" fontId="21" fillId="2" borderId="8" xfId="0" applyFont="1" applyFill="1" applyBorder="1" applyAlignment="1">
      <alignment horizontal="center"/>
    </xf>
    <xf numFmtId="0" fontId="11" fillId="2" borderId="1" xfId="0" applyFont="1" applyFill="1" applyBorder="1" applyAlignment="1">
      <alignment horizontal="center"/>
    </xf>
    <xf numFmtId="166" fontId="11" fillId="0" borderId="0" xfId="0" applyNumberFormat="1" applyFont="1" applyAlignment="1">
      <alignment horizontal="center"/>
    </xf>
    <xf numFmtId="2" fontId="11" fillId="0" borderId="0" xfId="0" applyNumberFormat="1" applyFont="1" applyAlignment="1">
      <alignment horizontal="center"/>
    </xf>
    <xf numFmtId="166" fontId="15" fillId="0" borderId="0" xfId="0" applyNumberFormat="1" applyFont="1" applyAlignment="1">
      <alignment horizontal="center"/>
    </xf>
    <xf numFmtId="2" fontId="15" fillId="0" borderId="0" xfId="0" applyNumberFormat="1" applyFont="1" applyAlignment="1">
      <alignment horizontal="center"/>
    </xf>
    <xf numFmtId="1" fontId="11" fillId="0" borderId="0" xfId="0" applyNumberFormat="1" applyFont="1" applyAlignment="1">
      <alignment horizontal="center"/>
    </xf>
    <xf numFmtId="0" fontId="11" fillId="0" borderId="0" xfId="0" applyFont="1" applyAlignment="1">
      <alignment horizontal="center" vertical="center"/>
    </xf>
    <xf numFmtId="1" fontId="11" fillId="0" borderId="7" xfId="0" applyNumberFormat="1" applyFont="1" applyBorder="1" applyAlignment="1">
      <alignment horizontal="center"/>
    </xf>
    <xf numFmtId="0" fontId="11" fillId="0" borderId="7" xfId="0" applyFont="1" applyBorder="1" applyAlignment="1">
      <alignment horizontal="center"/>
    </xf>
    <xf numFmtId="2" fontId="11" fillId="0" borderId="0" xfId="0" applyNumberFormat="1" applyFont="1" applyAlignment="1">
      <alignment horizontal="center" vertical="center"/>
    </xf>
    <xf numFmtId="1" fontId="11" fillId="0" borderId="2" xfId="0" applyNumberFormat="1" applyFont="1" applyBorder="1" applyAlignment="1">
      <alignment horizontal="center"/>
    </xf>
    <xf numFmtId="165" fontId="11" fillId="0" borderId="7" xfId="0" applyNumberFormat="1" applyFont="1" applyBorder="1" applyAlignment="1">
      <alignment horizontal="center"/>
    </xf>
    <xf numFmtId="0" fontId="11" fillId="0" borderId="2" xfId="0" applyFont="1" applyBorder="1" applyAlignment="1">
      <alignment horizontal="center"/>
    </xf>
    <xf numFmtId="2" fontId="11" fillId="0" borderId="7" xfId="0" applyNumberFormat="1" applyFont="1" applyBorder="1" applyAlignment="1">
      <alignment horizontal="center"/>
    </xf>
    <xf numFmtId="0" fontId="15" fillId="2" borderId="4" xfId="0" applyFont="1" applyFill="1" applyBorder="1" applyAlignment="1">
      <alignment horizontal="center" vertical="center"/>
    </xf>
    <xf numFmtId="0" fontId="15" fillId="2" borderId="0" xfId="0" applyFont="1" applyFill="1" applyBorder="1" applyAlignment="1">
      <alignment horizontal="center" vertical="center"/>
    </xf>
    <xf numFmtId="0" fontId="15" fillId="2" borderId="1" xfId="2" applyFont="1" applyFill="1" applyBorder="1" applyAlignment="1">
      <alignment horizontal="center" vertical="center"/>
    </xf>
    <xf numFmtId="0" fontId="15" fillId="2" borderId="3" xfId="2" applyFont="1" applyFill="1" applyBorder="1" applyAlignment="1">
      <alignment horizontal="center" vertical="center"/>
    </xf>
    <xf numFmtId="0" fontId="15" fillId="2" borderId="4" xfId="2" applyFont="1" applyFill="1" applyBorder="1" applyAlignment="1">
      <alignment horizontal="center" vertical="center"/>
    </xf>
    <xf numFmtId="0" fontId="15" fillId="2" borderId="5" xfId="2" applyFont="1" applyFill="1" applyBorder="1" applyAlignment="1">
      <alignment horizontal="center" vertical="center"/>
    </xf>
    <xf numFmtId="0" fontId="12" fillId="2" borderId="2" xfId="2" applyFont="1" applyFill="1" applyBorder="1" applyAlignment="1">
      <alignment horizontal="center" vertical="center"/>
    </xf>
    <xf numFmtId="0" fontId="12" fillId="2" borderId="3" xfId="2" applyFont="1" applyFill="1" applyBorder="1" applyAlignment="1">
      <alignment horizontal="center" vertical="center"/>
    </xf>
    <xf numFmtId="0" fontId="12" fillId="2" borderId="0" xfId="2" applyFont="1" applyFill="1" applyBorder="1" applyAlignment="1">
      <alignment horizontal="center" vertical="center"/>
    </xf>
    <xf numFmtId="0" fontId="12" fillId="2" borderId="5" xfId="2" applyFont="1" applyFill="1" applyBorder="1" applyAlignment="1">
      <alignment horizontal="center" vertical="center"/>
    </xf>
    <xf numFmtId="0" fontId="16" fillId="0" borderId="0" xfId="0" applyFont="1" applyAlignment="1">
      <alignment horizontal="center"/>
    </xf>
    <xf numFmtId="0" fontId="1" fillId="0" borderId="0" xfId="0" applyFont="1"/>
    <xf numFmtId="0" fontId="1" fillId="2" borderId="2" xfId="2" applyFont="1" applyFill="1" applyBorder="1" applyAlignment="1">
      <alignment horizontal="left" vertical="center"/>
    </xf>
    <xf numFmtId="0" fontId="1" fillId="2" borderId="2" xfId="0" applyFont="1" applyFill="1" applyBorder="1" applyAlignment="1">
      <alignment horizontal="left" vertical="center" indent="1"/>
    </xf>
    <xf numFmtId="0" fontId="15" fillId="2" borderId="4" xfId="0" applyFont="1" applyFill="1" applyBorder="1" applyAlignment="1">
      <alignment horizontal="left" vertical="center" indent="2"/>
    </xf>
    <xf numFmtId="0" fontId="1" fillId="2" borderId="0" xfId="2" applyFont="1" applyFill="1" applyBorder="1" applyAlignment="1">
      <alignment horizontal="left" vertical="center"/>
    </xf>
    <xf numFmtId="0" fontId="1" fillId="2" borderId="0" xfId="0" applyFont="1" applyFill="1" applyBorder="1" applyAlignment="1">
      <alignment horizontal="left" vertical="center" indent="1"/>
    </xf>
    <xf numFmtId="0" fontId="1" fillId="2" borderId="0" xfId="2" applyFont="1" applyFill="1" applyBorder="1" applyAlignment="1">
      <alignment horizontal="left" vertical="center" indent="1"/>
    </xf>
    <xf numFmtId="0" fontId="1" fillId="2" borderId="5" xfId="2" applyFont="1" applyFill="1" applyBorder="1" applyAlignment="1">
      <alignment horizontal="left" vertical="center" indent="1"/>
    </xf>
    <xf numFmtId="0" fontId="1" fillId="2" borderId="4" xfId="0" applyFont="1" applyFill="1" applyBorder="1" applyAlignment="1">
      <alignment horizontal="left" vertical="center" indent="1"/>
    </xf>
    <xf numFmtId="0" fontId="1" fillId="2" borderId="5" xfId="0" applyFont="1" applyFill="1" applyBorder="1" applyAlignment="1">
      <alignment horizontal="left" vertical="center" indent="1"/>
    </xf>
    <xf numFmtId="0" fontId="1" fillId="2" borderId="4" xfId="2" applyFont="1" applyFill="1" applyBorder="1" applyAlignment="1">
      <alignment horizontal="left" vertical="center" indent="1"/>
    </xf>
    <xf numFmtId="0" fontId="15" fillId="2" borderId="6" xfId="0" applyFont="1" applyFill="1" applyBorder="1" applyAlignment="1">
      <alignment horizontal="left" vertical="top" indent="2"/>
    </xf>
    <xf numFmtId="0" fontId="1" fillId="2" borderId="7" xfId="2" applyFont="1" applyFill="1" applyBorder="1" applyAlignment="1">
      <alignment horizontal="left" vertical="top"/>
    </xf>
    <xf numFmtId="14" fontId="1" fillId="2" borderId="7" xfId="0" applyNumberFormat="1" applyFont="1" applyFill="1" applyBorder="1" applyAlignment="1">
      <alignment vertical="top"/>
    </xf>
    <xf numFmtId="14" fontId="1" fillId="2" borderId="8" xfId="0" applyNumberFormat="1" applyFont="1" applyFill="1" applyBorder="1" applyAlignment="1">
      <alignment vertical="top"/>
    </xf>
    <xf numFmtId="14" fontId="1" fillId="2" borderId="6" xfId="0" applyNumberFormat="1" applyFont="1" applyFill="1" applyBorder="1" applyAlignment="1">
      <alignment vertical="top"/>
    </xf>
    <xf numFmtId="0" fontId="1" fillId="0" borderId="0" xfId="0" applyFont="1" applyAlignment="1">
      <alignment horizontal="center"/>
    </xf>
    <xf numFmtId="0" fontId="1" fillId="0" borderId="0" xfId="0" applyFont="1" applyAlignment="1">
      <alignment vertical="center"/>
    </xf>
    <xf numFmtId="0" fontId="1" fillId="2" borderId="4" xfId="2" applyFont="1" applyFill="1" applyBorder="1" applyAlignment="1">
      <alignment horizontal="center" vertical="center"/>
    </xf>
    <xf numFmtId="0" fontId="1" fillId="2" borderId="0" xfId="2" applyFont="1" applyFill="1" applyAlignment="1">
      <alignment horizontal="center" vertical="center"/>
    </xf>
    <xf numFmtId="0" fontId="1" fillId="2" borderId="5" xfId="2" applyFont="1" applyFill="1" applyBorder="1" applyAlignment="1">
      <alignment horizontal="center" vertical="center"/>
    </xf>
    <xf numFmtId="0" fontId="1" fillId="2" borderId="6" xfId="2" applyFont="1" applyFill="1" applyBorder="1" applyAlignment="1">
      <alignment horizontal="center" vertical="center"/>
    </xf>
    <xf numFmtId="0" fontId="1" fillId="2" borderId="7" xfId="2" applyFont="1" applyFill="1" applyBorder="1" applyAlignment="1">
      <alignment horizontal="center" vertical="center"/>
    </xf>
    <xf numFmtId="0" fontId="1" fillId="2" borderId="8" xfId="2" applyFont="1" applyFill="1" applyBorder="1" applyAlignment="1">
      <alignment horizontal="center" vertical="center"/>
    </xf>
    <xf numFmtId="0" fontId="1" fillId="3" borderId="1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center"/>
    </xf>
    <xf numFmtId="0" fontId="1" fillId="3" borderId="2" xfId="2" applyFont="1" applyFill="1" applyBorder="1" applyAlignment="1">
      <alignment horizontal="center" vertical="center"/>
    </xf>
    <xf numFmtId="1" fontId="1" fillId="3" borderId="2" xfId="2" applyNumberFormat="1" applyFont="1" applyFill="1" applyBorder="1" applyAlignment="1">
      <alignment horizontal="center" vertical="center"/>
    </xf>
    <xf numFmtId="1" fontId="1" fillId="3" borderId="2" xfId="0" applyNumberFormat="1" applyFont="1" applyFill="1" applyBorder="1" applyAlignment="1">
      <alignment horizontal="center"/>
    </xf>
    <xf numFmtId="164" fontId="1" fillId="3" borderId="2" xfId="0" applyNumberFormat="1" applyFont="1" applyFill="1" applyBorder="1" applyAlignment="1">
      <alignment horizontal="center"/>
    </xf>
    <xf numFmtId="1" fontId="1" fillId="3" borderId="3" xfId="0" applyNumberFormat="1" applyFont="1" applyFill="1" applyBorder="1" applyAlignment="1">
      <alignment horizontal="center"/>
    </xf>
    <xf numFmtId="1" fontId="1" fillId="0" borderId="1" xfId="0" applyNumberFormat="1" applyFont="1" applyBorder="1" applyAlignment="1">
      <alignment horizontal="center"/>
    </xf>
    <xf numFmtId="1" fontId="1" fillId="0" borderId="2" xfId="0" applyNumberFormat="1" applyFont="1" applyBorder="1" applyAlignment="1">
      <alignment horizontal="center"/>
    </xf>
    <xf numFmtId="0" fontId="1" fillId="0" borderId="3" xfId="0" applyFont="1" applyBorder="1"/>
    <xf numFmtId="1" fontId="1" fillId="0" borderId="3" xfId="0" applyNumberFormat="1" applyFont="1" applyBorder="1" applyAlignment="1">
      <alignment horizontal="center"/>
    </xf>
    <xf numFmtId="0" fontId="1" fillId="5" borderId="4" xfId="0" applyFont="1" applyFill="1" applyBorder="1" applyAlignment="1">
      <alignment horizontal="center"/>
    </xf>
    <xf numFmtId="0" fontId="1" fillId="5" borderId="0" xfId="0" applyFont="1" applyFill="1" applyBorder="1" applyAlignment="1">
      <alignment horizontal="center"/>
    </xf>
    <xf numFmtId="0" fontId="1" fillId="5" borderId="0" xfId="2" applyFont="1" applyFill="1" applyBorder="1" applyAlignment="1">
      <alignment horizontal="center" vertical="center"/>
    </xf>
    <xf numFmtId="1" fontId="1" fillId="5" borderId="0" xfId="2" applyNumberFormat="1" applyFont="1" applyFill="1" applyBorder="1" applyAlignment="1">
      <alignment horizontal="center" vertical="center"/>
    </xf>
    <xf numFmtId="1" fontId="1" fillId="5" borderId="0" xfId="0" applyNumberFormat="1" applyFont="1" applyFill="1" applyBorder="1" applyAlignment="1">
      <alignment horizontal="center"/>
    </xf>
    <xf numFmtId="164" fontId="1" fillId="5" borderId="0" xfId="0" applyNumberFormat="1" applyFont="1" applyFill="1" applyBorder="1" applyAlignment="1">
      <alignment horizontal="center"/>
    </xf>
    <xf numFmtId="1" fontId="1" fillId="5" borderId="5" xfId="0" applyNumberFormat="1" applyFont="1" applyFill="1" applyBorder="1" applyAlignment="1">
      <alignment horizontal="center"/>
    </xf>
    <xf numFmtId="1" fontId="1" fillId="5" borderId="4" xfId="0" applyNumberFormat="1" applyFont="1" applyFill="1" applyBorder="1" applyAlignment="1">
      <alignment horizontal="center"/>
    </xf>
    <xf numFmtId="0" fontId="1" fillId="5" borderId="5" xfId="0" applyFont="1" applyFill="1" applyBorder="1"/>
    <xf numFmtId="0" fontId="1" fillId="3" borderId="4" xfId="0" applyFont="1" applyFill="1" applyBorder="1" applyAlignment="1">
      <alignment horizontal="center"/>
    </xf>
    <xf numFmtId="0" fontId="1" fillId="3" borderId="0" xfId="0" applyFont="1" applyFill="1" applyBorder="1" applyAlignment="1">
      <alignment horizontal="center"/>
    </xf>
    <xf numFmtId="0" fontId="1" fillId="3" borderId="0" xfId="2" applyFont="1" applyFill="1" applyBorder="1" applyAlignment="1">
      <alignment horizontal="center" vertical="center"/>
    </xf>
    <xf numFmtId="1" fontId="1" fillId="3" borderId="0" xfId="2" applyNumberFormat="1" applyFont="1" applyFill="1" applyBorder="1" applyAlignment="1">
      <alignment horizontal="center" vertical="center"/>
    </xf>
    <xf numFmtId="1" fontId="1" fillId="3" borderId="0" xfId="0" applyNumberFormat="1" applyFont="1" applyFill="1" applyBorder="1" applyAlignment="1">
      <alignment horizontal="center"/>
    </xf>
    <xf numFmtId="164" fontId="1" fillId="3" borderId="0" xfId="0" applyNumberFormat="1" applyFont="1" applyFill="1" applyBorder="1" applyAlignment="1">
      <alignment horizontal="center"/>
    </xf>
    <xf numFmtId="1" fontId="1" fillId="3" borderId="5" xfId="0" applyNumberFormat="1" applyFont="1" applyFill="1" applyBorder="1" applyAlignment="1">
      <alignment horizontal="center"/>
    </xf>
    <xf numFmtId="1" fontId="1" fillId="0" borderId="4" xfId="0" applyNumberFormat="1" applyFont="1" applyBorder="1" applyAlignment="1">
      <alignment horizontal="center"/>
    </xf>
    <xf numFmtId="1" fontId="1" fillId="0" borderId="0" xfId="0" applyNumberFormat="1" applyFont="1" applyBorder="1" applyAlignment="1">
      <alignment horizontal="center"/>
    </xf>
    <xf numFmtId="0" fontId="1" fillId="0" borderId="5" xfId="0" applyFont="1" applyBorder="1"/>
    <xf numFmtId="1" fontId="1" fillId="0" borderId="5" xfId="0" applyNumberFormat="1" applyFont="1" applyBorder="1" applyAlignment="1">
      <alignment horizontal="center"/>
    </xf>
    <xf numFmtId="1" fontId="1" fillId="0" borderId="6" xfId="0" applyNumberFormat="1" applyFont="1" applyBorder="1" applyAlignment="1">
      <alignment horizontal="center"/>
    </xf>
    <xf numFmtId="1" fontId="1" fillId="0" borderId="8" xfId="0" applyNumberFormat="1" applyFont="1" applyBorder="1" applyAlignment="1">
      <alignment horizontal="center"/>
    </xf>
    <xf numFmtId="0" fontId="1" fillId="3" borderId="6" xfId="0" applyFont="1" applyFill="1" applyBorder="1" applyAlignment="1">
      <alignment horizontal="center"/>
    </xf>
    <xf numFmtId="0" fontId="1" fillId="3" borderId="7" xfId="0" applyFont="1" applyFill="1" applyBorder="1" applyAlignment="1">
      <alignment horizontal="center"/>
    </xf>
    <xf numFmtId="0" fontId="1" fillId="3" borderId="7" xfId="2" applyFont="1" applyFill="1" applyBorder="1" applyAlignment="1">
      <alignment horizontal="center" vertical="center"/>
    </xf>
    <xf numFmtId="1" fontId="1" fillId="3" borderId="7" xfId="2" applyNumberFormat="1" applyFont="1" applyFill="1" applyBorder="1" applyAlignment="1">
      <alignment horizontal="center" vertical="center"/>
    </xf>
    <xf numFmtId="1" fontId="1" fillId="3" borderId="7" xfId="0" applyNumberFormat="1" applyFont="1" applyFill="1" applyBorder="1" applyAlignment="1">
      <alignment horizontal="center"/>
    </xf>
    <xf numFmtId="164" fontId="1" fillId="3" borderId="7" xfId="0" applyNumberFormat="1" applyFont="1" applyFill="1" applyBorder="1" applyAlignment="1">
      <alignment horizontal="center"/>
    </xf>
    <xf numFmtId="1" fontId="1" fillId="3" borderId="8" xfId="0" applyNumberFormat="1" applyFont="1" applyFill="1" applyBorder="1" applyAlignment="1">
      <alignment horizontal="center"/>
    </xf>
    <xf numFmtId="1" fontId="1" fillId="0" borderId="7" xfId="0" applyNumberFormat="1" applyFont="1" applyBorder="1" applyAlignment="1">
      <alignment horizontal="center"/>
    </xf>
    <xf numFmtId="0" fontId="1" fillId="0" borderId="8" xfId="0" applyFont="1" applyBorder="1"/>
    <xf numFmtId="0" fontId="1" fillId="5" borderId="1" xfId="0" applyFont="1" applyFill="1" applyBorder="1" applyAlignment="1">
      <alignment horizontal="center"/>
    </xf>
    <xf numFmtId="0" fontId="1" fillId="5" borderId="2" xfId="0" applyFont="1" applyFill="1" applyBorder="1" applyAlignment="1">
      <alignment horizontal="center"/>
    </xf>
    <xf numFmtId="0" fontId="1" fillId="5" borderId="2" xfId="2" applyFont="1" applyFill="1" applyBorder="1" applyAlignment="1">
      <alignment horizontal="center" vertical="center"/>
    </xf>
    <xf numFmtId="1" fontId="1" fillId="5" borderId="2" xfId="2" applyNumberFormat="1" applyFont="1" applyFill="1" applyBorder="1" applyAlignment="1">
      <alignment horizontal="center" vertical="center"/>
    </xf>
    <xf numFmtId="1" fontId="1" fillId="5" borderId="2" xfId="0" applyNumberFormat="1" applyFont="1" applyFill="1" applyBorder="1" applyAlignment="1">
      <alignment horizontal="center"/>
    </xf>
    <xf numFmtId="164" fontId="1" fillId="5" borderId="2" xfId="0" applyNumberFormat="1" applyFont="1" applyFill="1" applyBorder="1" applyAlignment="1">
      <alignment horizontal="center"/>
    </xf>
    <xf numFmtId="1" fontId="1" fillId="5" borderId="3" xfId="0" applyNumberFormat="1" applyFont="1" applyFill="1" applyBorder="1" applyAlignment="1">
      <alignment horizontal="center"/>
    </xf>
    <xf numFmtId="1" fontId="1" fillId="5" borderId="0" xfId="0" applyNumberFormat="1" applyFont="1" applyFill="1" applyAlignment="1">
      <alignment horizontal="center"/>
    </xf>
    <xf numFmtId="1" fontId="1" fillId="0" borderId="0" xfId="0" applyNumberFormat="1" applyFont="1" applyAlignment="1">
      <alignment horizontal="center"/>
    </xf>
    <xf numFmtId="0" fontId="1" fillId="5" borderId="6" xfId="0" applyFont="1" applyFill="1" applyBorder="1" applyAlignment="1">
      <alignment horizontal="center"/>
    </xf>
    <xf numFmtId="0" fontId="1" fillId="5" borderId="7" xfId="0" applyFont="1" applyFill="1" applyBorder="1" applyAlignment="1">
      <alignment horizontal="center"/>
    </xf>
    <xf numFmtId="0" fontId="1" fillId="5" borderId="7" xfId="2" applyFont="1" applyFill="1" applyBorder="1" applyAlignment="1">
      <alignment horizontal="center" vertical="center"/>
    </xf>
    <xf numFmtId="1" fontId="1" fillId="5" borderId="7" xfId="2" applyNumberFormat="1" applyFont="1" applyFill="1" applyBorder="1" applyAlignment="1">
      <alignment horizontal="center" vertical="center"/>
    </xf>
    <xf numFmtId="1" fontId="1" fillId="5" borderId="7" xfId="0" applyNumberFormat="1" applyFont="1" applyFill="1" applyBorder="1" applyAlignment="1">
      <alignment horizontal="center"/>
    </xf>
    <xf numFmtId="164" fontId="1" fillId="5" borderId="7" xfId="0" applyNumberFormat="1" applyFont="1" applyFill="1" applyBorder="1" applyAlignment="1">
      <alignment horizontal="center"/>
    </xf>
    <xf numFmtId="1" fontId="1" fillId="5" borderId="8" xfId="0" applyNumberFormat="1" applyFont="1" applyFill="1" applyBorder="1" applyAlignment="1">
      <alignment horizontal="center"/>
    </xf>
    <xf numFmtId="164" fontId="1" fillId="0" borderId="15" xfId="2" applyNumberFormat="1" applyFont="1" applyBorder="1" applyAlignment="1">
      <alignment horizontal="center" vertical="center"/>
    </xf>
    <xf numFmtId="2" fontId="1" fillId="0" borderId="15" xfId="2" applyNumberFormat="1" applyFont="1" applyBorder="1" applyAlignment="1">
      <alignment horizontal="center" vertical="center"/>
    </xf>
    <xf numFmtId="3" fontId="1" fillId="0" borderId="15" xfId="2" applyNumberFormat="1" applyFont="1" applyBorder="1" applyAlignment="1">
      <alignment horizontal="center" vertical="center"/>
    </xf>
    <xf numFmtId="1" fontId="1" fillId="0" borderId="15" xfId="2" applyNumberFormat="1" applyFont="1" applyBorder="1" applyAlignment="1">
      <alignment horizontal="center" vertical="center"/>
    </xf>
    <xf numFmtId="0" fontId="16" fillId="0" borderId="0" xfId="2" applyFont="1" applyAlignment="1">
      <alignment horizontal="center"/>
    </xf>
    <xf numFmtId="0" fontId="22" fillId="4" borderId="11" xfId="2" applyFont="1" applyFill="1" applyBorder="1"/>
    <xf numFmtId="0" fontId="22" fillId="4" borderId="11" xfId="2" applyFont="1" applyFill="1" applyBorder="1" applyAlignment="1">
      <alignment horizontal="center" vertical="center"/>
    </xf>
    <xf numFmtId="0" fontId="40" fillId="4" borderId="12" xfId="2" applyFont="1" applyFill="1" applyBorder="1" applyAlignment="1">
      <alignment horizontal="center" vertical="center"/>
    </xf>
    <xf numFmtId="0" fontId="40" fillId="4" borderId="13" xfId="2" applyFont="1" applyFill="1" applyBorder="1" applyAlignment="1">
      <alignment horizontal="center" vertical="center"/>
    </xf>
    <xf numFmtId="0" fontId="40" fillId="4" borderId="14" xfId="2" applyFont="1" applyFill="1" applyBorder="1" applyAlignment="1">
      <alignment horizontal="center" vertical="center"/>
    </xf>
    <xf numFmtId="0" fontId="1" fillId="4" borderId="15" xfId="2" applyFont="1" applyFill="1" applyBorder="1" applyAlignment="1">
      <alignment horizontal="center" vertical="center"/>
    </xf>
    <xf numFmtId="0" fontId="1" fillId="0" borderId="15" xfId="2" applyFont="1" applyBorder="1" applyAlignment="1">
      <alignment horizontal="center" vertical="center"/>
    </xf>
    <xf numFmtId="3" fontId="8" fillId="0" borderId="15" xfId="2" applyNumberFormat="1" applyFont="1" applyBorder="1" applyAlignment="1">
      <alignment horizontal="center" vertical="center"/>
    </xf>
    <xf numFmtId="1" fontId="11" fillId="4" borderId="15" xfId="2" applyNumberFormat="1" applyFill="1" applyBorder="1" applyAlignment="1">
      <alignment horizontal="center" vertical="center"/>
    </xf>
    <xf numFmtId="1" fontId="4" fillId="4" borderId="15" xfId="2" applyNumberFormat="1" applyFont="1" applyFill="1" applyBorder="1" applyAlignment="1">
      <alignment horizontal="center" vertical="center"/>
    </xf>
    <xf numFmtId="3" fontId="11" fillId="4" borderId="15" xfId="2" applyNumberFormat="1" applyFill="1" applyBorder="1" applyAlignment="1">
      <alignment horizontal="center" vertical="center"/>
    </xf>
    <xf numFmtId="1" fontId="15" fillId="4" borderId="12" xfId="2" applyNumberFormat="1" applyFont="1" applyFill="1" applyBorder="1" applyAlignment="1">
      <alignment horizontal="center" vertical="center"/>
    </xf>
    <xf numFmtId="1" fontId="15" fillId="4" borderId="13" xfId="2" applyNumberFormat="1" applyFont="1" applyFill="1" applyBorder="1" applyAlignment="1">
      <alignment horizontal="center" vertical="center"/>
    </xf>
    <xf numFmtId="1" fontId="15" fillId="4" borderId="14" xfId="2" applyNumberFormat="1" applyFont="1" applyFill="1" applyBorder="1" applyAlignment="1">
      <alignment horizontal="center" vertical="center"/>
    </xf>
    <xf numFmtId="4" fontId="11" fillId="0" borderId="0" xfId="0" applyNumberFormat="1" applyFont="1"/>
    <xf numFmtId="4" fontId="11" fillId="0" borderId="0" xfId="0" applyNumberFormat="1" applyFont="1" applyAlignment="1">
      <alignment horizontal="center"/>
    </xf>
    <xf numFmtId="4" fontId="2" fillId="0" borderId="0" xfId="0" applyNumberFormat="1" applyFont="1" applyAlignment="1">
      <alignment horizontal="center" vertical="center"/>
    </xf>
    <xf numFmtId="4" fontId="2" fillId="0" borderId="7" xfId="0" applyNumberFormat="1" applyFont="1" applyBorder="1" applyAlignment="1">
      <alignment horizontal="center"/>
    </xf>
    <xf numFmtId="4" fontId="2" fillId="0" borderId="0" xfId="0" applyNumberFormat="1" applyFont="1" applyAlignment="1">
      <alignment vertical="center"/>
    </xf>
    <xf numFmtId="3" fontId="15" fillId="0" borderId="0" xfId="0" applyNumberFormat="1" applyFont="1"/>
    <xf numFmtId="3" fontId="11" fillId="0" borderId="0" xfId="0" applyNumberFormat="1" applyFont="1"/>
    <xf numFmtId="3" fontId="41" fillId="0" borderId="0" xfId="0" applyNumberFormat="1" applyFont="1"/>
    <xf numFmtId="3" fontId="20" fillId="0" borderId="0" xfId="0" applyNumberFormat="1" applyFont="1"/>
    <xf numFmtId="3" fontId="1" fillId="0" borderId="0" xfId="0" applyNumberFormat="1" applyFont="1"/>
    <xf numFmtId="3" fontId="11" fillId="0" borderId="0" xfId="0" applyNumberFormat="1" applyFont="1" applyAlignment="1">
      <alignment horizontal="left" vertical="top" wrapText="1"/>
    </xf>
    <xf numFmtId="3" fontId="11" fillId="0" borderId="0" xfId="0" applyNumberFormat="1" applyFont="1" applyAlignment="1">
      <alignment horizontal="left" vertical="top" wrapText="1"/>
    </xf>
    <xf numFmtId="3" fontId="2" fillId="0" borderId="0" xfId="0" applyNumberFormat="1" applyFont="1"/>
    <xf numFmtId="3" fontId="11" fillId="0" borderId="0" xfId="0" applyNumberFormat="1" applyFont="1" applyAlignment="1">
      <alignment horizontal="center"/>
    </xf>
    <xf numFmtId="3" fontId="11" fillId="0" borderId="0" xfId="0" applyNumberFormat="1" applyFont="1" applyAlignment="1">
      <alignment horizontal="center"/>
    </xf>
    <xf numFmtId="3" fontId="18" fillId="0" borderId="0" xfId="0" applyNumberFormat="1" applyFont="1" applyAlignment="1">
      <alignment horizontal="center"/>
    </xf>
    <xf numFmtId="3" fontId="18" fillId="0" borderId="0" xfId="0" applyNumberFormat="1" applyFont="1" applyAlignment="1">
      <alignment horizontal="center" vertical="center"/>
    </xf>
    <xf numFmtId="3" fontId="18" fillId="0" borderId="0" xfId="0" applyNumberFormat="1" applyFont="1" applyAlignment="1">
      <alignment vertical="center"/>
    </xf>
    <xf numFmtId="3" fontId="18" fillId="0" borderId="0" xfId="0" applyNumberFormat="1" applyFont="1" applyAlignment="1">
      <alignment horizontal="center"/>
    </xf>
    <xf numFmtId="3" fontId="15" fillId="0" borderId="0" xfId="0" applyNumberFormat="1" applyFont="1" applyAlignment="1">
      <alignment horizontal="center"/>
    </xf>
    <xf numFmtId="3" fontId="15" fillId="0" borderId="0" xfId="0" applyNumberFormat="1" applyFont="1" applyAlignment="1">
      <alignment horizontal="center"/>
    </xf>
    <xf numFmtId="3" fontId="11" fillId="0" borderId="0" xfId="0" applyNumberFormat="1" applyFont="1" applyAlignment="1">
      <alignment wrapText="1"/>
    </xf>
    <xf numFmtId="3" fontId="21" fillId="0" borderId="0" xfId="0" applyNumberFormat="1" applyFont="1"/>
    <xf numFmtId="3" fontId="11" fillId="2" borderId="1" xfId="0" applyNumberFormat="1" applyFont="1" applyFill="1" applyBorder="1" applyAlignment="1">
      <alignment horizontal="center"/>
    </xf>
    <xf numFmtId="3" fontId="11" fillId="2" borderId="2" xfId="0" applyNumberFormat="1" applyFont="1" applyFill="1" applyBorder="1" applyAlignment="1">
      <alignment horizontal="center"/>
    </xf>
    <xf numFmtId="3" fontId="11" fillId="2" borderId="2" xfId="0" applyNumberFormat="1" applyFont="1" applyFill="1" applyBorder="1"/>
    <xf numFmtId="3" fontId="11" fillId="2" borderId="3" xfId="0" applyNumberFormat="1" applyFont="1" applyFill="1" applyBorder="1" applyAlignment="1">
      <alignment horizontal="center"/>
    </xf>
    <xf numFmtId="3" fontId="11" fillId="2" borderId="6" xfId="0" applyNumberFormat="1" applyFont="1" applyFill="1" applyBorder="1" applyAlignment="1">
      <alignment horizontal="center"/>
    </xf>
    <xf numFmtId="3" fontId="11" fillId="2" borderId="7" xfId="0" applyNumberFormat="1" applyFont="1" applyFill="1" applyBorder="1" applyAlignment="1">
      <alignment horizontal="center"/>
    </xf>
    <xf numFmtId="3" fontId="11" fillId="2" borderId="7" xfId="0" applyNumberFormat="1" applyFont="1" applyFill="1" applyBorder="1"/>
    <xf numFmtId="3" fontId="21" fillId="2" borderId="7" xfId="0" applyNumberFormat="1" applyFont="1" applyFill="1" applyBorder="1" applyAlignment="1">
      <alignment horizontal="center"/>
    </xf>
    <xf numFmtId="3" fontId="21" fillId="2" borderId="8" xfId="0" applyNumberFormat="1" applyFont="1" applyFill="1" applyBorder="1" applyAlignment="1">
      <alignment horizontal="center"/>
    </xf>
    <xf numFmtId="3" fontId="11" fillId="0" borderId="7" xfId="0" applyNumberFormat="1" applyFont="1" applyBorder="1"/>
    <xf numFmtId="3" fontId="1" fillId="0" borderId="0" xfId="0" applyNumberFormat="1" applyFont="1" applyBorder="1" applyAlignment="1">
      <alignment horizontal="center" vertical="center"/>
    </xf>
    <xf numFmtId="3" fontId="2" fillId="0" borderId="0" xfId="0" applyNumberFormat="1" applyFont="1" applyBorder="1" applyAlignment="1">
      <alignment horizontal="center" vertical="center"/>
    </xf>
    <xf numFmtId="3" fontId="2" fillId="0" borderId="0" xfId="0" applyNumberFormat="1" applyFont="1" applyAlignment="1">
      <alignment horizontal="center" vertical="center"/>
    </xf>
    <xf numFmtId="3" fontId="2" fillId="0" borderId="7" xfId="0" applyNumberFormat="1" applyFont="1" applyBorder="1" applyAlignment="1">
      <alignment horizontal="center"/>
    </xf>
    <xf numFmtId="3" fontId="2" fillId="0" borderId="0" xfId="0" applyNumberFormat="1" applyFont="1" applyAlignment="1">
      <alignment horizontal="left"/>
    </xf>
    <xf numFmtId="3" fontId="2" fillId="0" borderId="7" xfId="0" applyNumberFormat="1" applyFont="1" applyBorder="1" applyAlignment="1"/>
    <xf numFmtId="3" fontId="2" fillId="0" borderId="7" xfId="0" applyNumberFormat="1" applyFont="1" applyBorder="1"/>
    <xf numFmtId="3" fontId="2" fillId="0" borderId="0" xfId="0" applyNumberFormat="1" applyFont="1" applyAlignment="1">
      <alignment vertical="center"/>
    </xf>
    <xf numFmtId="3" fontId="2" fillId="0" borderId="2" xfId="0" applyNumberFormat="1" applyFont="1" applyBorder="1" applyAlignment="1">
      <alignment horizontal="center"/>
    </xf>
    <xf numFmtId="167" fontId="11" fillId="0" borderId="0" xfId="0" applyNumberFormat="1" applyFont="1"/>
    <xf numFmtId="167" fontId="11" fillId="0" borderId="0" xfId="0" applyNumberFormat="1" applyFont="1" applyAlignment="1">
      <alignment horizontal="center"/>
    </xf>
    <xf numFmtId="167" fontId="11" fillId="0" borderId="7" xfId="0" applyNumberFormat="1" applyFont="1" applyBorder="1"/>
    <xf numFmtId="167" fontId="15" fillId="0" borderId="0" xfId="0" applyNumberFormat="1" applyFont="1" applyAlignment="1">
      <alignment horizontal="center"/>
    </xf>
    <xf numFmtId="167" fontId="15" fillId="0" borderId="0" xfId="0" applyNumberFormat="1" applyFont="1"/>
    <xf numFmtId="169" fontId="11" fillId="0" borderId="0" xfId="0" applyNumberFormat="1" applyFont="1" applyAlignment="1">
      <alignment horizontal="center"/>
    </xf>
    <xf numFmtId="168" fontId="18" fillId="0" borderId="0" xfId="0" applyNumberFormat="1" applyFont="1" applyAlignment="1">
      <alignment horizontal="center"/>
    </xf>
    <xf numFmtId="3" fontId="41" fillId="0" borderId="0" xfId="0" applyNumberFormat="1" applyFont="1" applyAlignment="1">
      <alignment horizontal="left" vertical="center"/>
    </xf>
    <xf numFmtId="3" fontId="16" fillId="0" borderId="0" xfId="0" applyNumberFormat="1" applyFont="1"/>
    <xf numFmtId="0" fontId="12" fillId="5" borderId="15" xfId="0" applyFont="1" applyFill="1" applyBorder="1" applyAlignment="1">
      <alignment horizontal="left" vertical="center"/>
    </xf>
    <xf numFmtId="0" fontId="42" fillId="2" borderId="5" xfId="2" applyFont="1" applyFill="1" applyBorder="1" applyAlignment="1">
      <alignment horizontal="left" vertical="center" indent="1"/>
    </xf>
    <xf numFmtId="0" fontId="42" fillId="2" borderId="0" xfId="2" applyFont="1" applyFill="1" applyBorder="1" applyAlignment="1">
      <alignment horizontal="left" vertical="center"/>
    </xf>
  </cellXfs>
  <cellStyles count="5">
    <cellStyle name="Hyperlink" xfId="4" builtinId="8"/>
    <cellStyle name="Normal" xfId="0" builtinId="0"/>
    <cellStyle name="Normal 2" xfId="2" xr:uid="{98D60A1D-F95A-426E-BAA1-4E64B26CFE10}"/>
    <cellStyle name="Normal 3" xfId="3" xr:uid="{921A30AC-9730-447A-91FD-02B406C206DC}"/>
    <cellStyle name="Percent" xfId="1" builtinId="5"/>
  </cellStyles>
  <dxfs count="12">
    <dxf>
      <font>
        <color theme="1"/>
      </font>
      <fill>
        <patternFill patternType="none">
          <bgColor auto="1"/>
        </patternFill>
      </fill>
    </dxf>
    <dxf>
      <font>
        <color theme="0" tint="-0.24994659260841701"/>
      </font>
      <fill>
        <patternFill patternType="none">
          <bgColor auto="1"/>
        </patternFill>
      </fill>
    </dxf>
    <dxf>
      <font>
        <color theme="1"/>
      </font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b/>
        <i val="0"/>
      </font>
      <fill>
        <patternFill>
          <bgColor rgb="FFFFFF99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92D050"/>
        </patternFill>
      </fill>
    </dxf>
  </dxfs>
  <tableStyles count="0" defaultTableStyle="TableStyleMedium9" defaultPivotStyle="PivotStyleMedium4"/>
  <colors>
    <mruColors>
      <color rgb="FF588824"/>
      <color rgb="FFFFFF99"/>
      <color rgb="FFFFFFCC"/>
      <color rgb="FFCCE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Times New Roman" panose="02020603050405020304" pitchFamily="18" charset="0"/>
              </a:defRPr>
            </a:pPr>
            <a:r>
              <a:rPr lang="en-US" sz="1200" b="1"/>
              <a:t>Gegenüberstellung</a:t>
            </a:r>
            <a:endParaRPr lang="en-US" b="1"/>
          </a:p>
          <a:p>
            <a:pPr>
              <a:defRPr/>
            </a:pPr>
            <a:r>
              <a:rPr lang="en-US" sz="1100"/>
              <a:t>Stützenbemessung nach Theorie I. und II. Ordnung</a:t>
            </a:r>
          </a:p>
          <a:p>
            <a:pPr>
              <a:defRPr/>
            </a:pPr>
            <a:r>
              <a:rPr lang="en-US" sz="1100" i="1"/>
              <a:t>Variable:</a:t>
            </a:r>
            <a:r>
              <a:rPr lang="en-US" sz="1100" i="1" baseline="0"/>
              <a:t> Stützenlänge</a:t>
            </a:r>
            <a:endParaRPr lang="en-US" sz="1100" i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Times New Roman" panose="02020603050405020304" pitchFamily="18" charset="0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Theorie I. Ordnung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Parameterstudien!$J$10:$J$24</c:f>
              <c:numCache>
                <c:formatCode>0.00</c:formatCode>
                <c:ptCount val="15"/>
                <c:pt idx="0">
                  <c:v>3</c:v>
                </c:pt>
                <c:pt idx="1">
                  <c:v>6</c:v>
                </c:pt>
                <c:pt idx="2">
                  <c:v>9</c:v>
                </c:pt>
                <c:pt idx="3">
                  <c:v>12</c:v>
                </c:pt>
                <c:pt idx="4">
                  <c:v>15</c:v>
                </c:pt>
                <c:pt idx="5">
                  <c:v>18</c:v>
                </c:pt>
                <c:pt idx="6">
                  <c:v>21</c:v>
                </c:pt>
                <c:pt idx="7">
                  <c:v>24</c:v>
                </c:pt>
                <c:pt idx="8">
                  <c:v>27</c:v>
                </c:pt>
                <c:pt idx="9">
                  <c:v>30</c:v>
                </c:pt>
                <c:pt idx="10">
                  <c:v>1</c:v>
                </c:pt>
                <c:pt idx="11">
                  <c:v>2</c:v>
                </c:pt>
                <c:pt idx="12">
                  <c:v>3</c:v>
                </c:pt>
                <c:pt idx="13">
                  <c:v>4</c:v>
                </c:pt>
                <c:pt idx="14">
                  <c:v>5</c:v>
                </c:pt>
              </c:numCache>
            </c:numRef>
          </c:cat>
          <c:val>
            <c:numRef>
              <c:f>Parameterstudien!$AF$10:$AF$19</c:f>
              <c:numCache>
                <c:formatCode>0%</c:formatCode>
                <c:ptCount val="10"/>
                <c:pt idx="0">
                  <c:v>0.16</c:v>
                </c:pt>
                <c:pt idx="1">
                  <c:v>0.69</c:v>
                </c:pt>
                <c:pt idx="2">
                  <c:v>0.75</c:v>
                </c:pt>
                <c:pt idx="3">
                  <c:v>0.97</c:v>
                </c:pt>
                <c:pt idx="4">
                  <c:v>1.35</c:v>
                </c:pt>
                <c:pt idx="5">
                  <c:v>1.86</c:v>
                </c:pt>
                <c:pt idx="6">
                  <c:v>2.44</c:v>
                </c:pt>
                <c:pt idx="7">
                  <c:v>3.21</c:v>
                </c:pt>
                <c:pt idx="8">
                  <c:v>3.84</c:v>
                </c:pt>
                <c:pt idx="9">
                  <c:v>4.7699999999999996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D26C-41F2-9ED9-0527817698E8}"/>
            </c:ext>
          </c:extLst>
        </c:ser>
        <c:ser>
          <c:idx val="1"/>
          <c:order val="1"/>
          <c:tx>
            <c:v>Theorie II. Ordnung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Parameterstudien!$J$10:$J$24</c:f>
              <c:numCache>
                <c:formatCode>0.00</c:formatCode>
                <c:ptCount val="15"/>
                <c:pt idx="0">
                  <c:v>3</c:v>
                </c:pt>
                <c:pt idx="1">
                  <c:v>6</c:v>
                </c:pt>
                <c:pt idx="2">
                  <c:v>9</c:v>
                </c:pt>
                <c:pt idx="3">
                  <c:v>12</c:v>
                </c:pt>
                <c:pt idx="4">
                  <c:v>15</c:v>
                </c:pt>
                <c:pt idx="5">
                  <c:v>18</c:v>
                </c:pt>
                <c:pt idx="6">
                  <c:v>21</c:v>
                </c:pt>
                <c:pt idx="7">
                  <c:v>24</c:v>
                </c:pt>
                <c:pt idx="8">
                  <c:v>27</c:v>
                </c:pt>
                <c:pt idx="9">
                  <c:v>30</c:v>
                </c:pt>
                <c:pt idx="10">
                  <c:v>1</c:v>
                </c:pt>
                <c:pt idx="11">
                  <c:v>2</c:v>
                </c:pt>
                <c:pt idx="12">
                  <c:v>3</c:v>
                </c:pt>
                <c:pt idx="13">
                  <c:v>4</c:v>
                </c:pt>
                <c:pt idx="14">
                  <c:v>5</c:v>
                </c:pt>
              </c:numCache>
            </c:numRef>
          </c:cat>
          <c:val>
            <c:numRef>
              <c:f>Parameterstudien!$AQ$10:$AQ$19</c:f>
              <c:numCache>
                <c:formatCode>0%</c:formatCode>
                <c:ptCount val="10"/>
                <c:pt idx="0">
                  <c:v>0.17846347766719858</c:v>
                </c:pt>
                <c:pt idx="1">
                  <c:v>0.61723626164931</c:v>
                </c:pt>
                <c:pt idx="2">
                  <c:v>0.66061880926835759</c:v>
                </c:pt>
                <c:pt idx="3">
                  <c:v>0.833692142601691</c:v>
                </c:pt>
                <c:pt idx="4">
                  <c:v>1.0551627735540721</c:v>
                </c:pt>
                <c:pt idx="5">
                  <c:v>1.8003859937921671</c:v>
                </c:pt>
                <c:pt idx="6">
                  <c:v>3.3895917318874051</c:v>
                </c:pt>
                <c:pt idx="7">
                  <c:v>7.4758389402207399</c:v>
                </c:pt>
                <c:pt idx="8">
                  <c:v>20.107544219982646</c:v>
                </c:pt>
                <c:pt idx="9">
                  <c:v>47.451756214030262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D26C-41F2-9ED9-0527817698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2725408"/>
        <c:axId val="402727072"/>
      </c:lineChart>
      <c:lineChart>
        <c:grouping val="standard"/>
        <c:varyColors val="0"/>
        <c:ser>
          <c:idx val="2"/>
          <c:order val="2"/>
          <c:tx>
            <c:v>Schlankheit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dLbls>
            <c:dLbl>
              <c:idx val="5"/>
              <c:layout>
                <c:manualLayout>
                  <c:x val="-3.4792506077730379E-2"/>
                  <c:y val="-6.5378898745932057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0577-40D1-8423-855D75E0193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Times New Roman" panose="02020603050405020304" pitchFamily="18" charset="0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Parameterstudien!$Y$10:$Y$19</c:f>
              <c:numCache>
                <c:formatCode>0</c:formatCode>
                <c:ptCount val="10"/>
                <c:pt idx="0">
                  <c:v>17.32</c:v>
                </c:pt>
                <c:pt idx="1">
                  <c:v>34.64</c:v>
                </c:pt>
                <c:pt idx="2">
                  <c:v>51.96</c:v>
                </c:pt>
                <c:pt idx="3">
                  <c:v>69.28</c:v>
                </c:pt>
                <c:pt idx="4">
                  <c:v>86.6</c:v>
                </c:pt>
                <c:pt idx="5">
                  <c:v>103.92</c:v>
                </c:pt>
                <c:pt idx="6">
                  <c:v>121.24</c:v>
                </c:pt>
                <c:pt idx="7">
                  <c:v>138.56</c:v>
                </c:pt>
                <c:pt idx="8">
                  <c:v>155.88</c:v>
                </c:pt>
                <c:pt idx="9">
                  <c:v>173.21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A-D26C-41F2-9ED9-0527817698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6826704"/>
        <c:axId val="406802992"/>
      </c:lineChart>
      <c:catAx>
        <c:axId val="40272540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Times New Roman" panose="02020603050405020304" pitchFamily="18" charset="0"/>
                  </a:defRPr>
                </a:pPr>
                <a:r>
                  <a:rPr lang="en-US"/>
                  <a:t>Länge [m]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Times New Roman" panose="02020603050405020304" pitchFamily="18" charset="0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Times New Roman" panose="02020603050405020304" pitchFamily="18" charset="0"/>
              </a:defRPr>
            </a:pPr>
            <a:endParaRPr lang="en-US"/>
          </a:p>
        </c:txPr>
        <c:crossAx val="402727072"/>
        <c:crosses val="autoZero"/>
        <c:auto val="1"/>
        <c:lblAlgn val="ctr"/>
        <c:lblOffset val="100"/>
        <c:noMultiLvlLbl val="0"/>
      </c:catAx>
      <c:valAx>
        <c:axId val="402727072"/>
        <c:scaling>
          <c:orientation val="minMax"/>
        </c:scaling>
        <c:delete val="0"/>
        <c:axPos val="l"/>
        <c:majorGridlines>
          <c:spPr>
            <a:ln w="9525" cap="sq" cmpd="sng" algn="ctr">
              <a:solidFill>
                <a:schemeClr val="tx1">
                  <a:lumMod val="15000"/>
                  <a:lumOff val="85000"/>
                  <a:alpha val="5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Times New Roman" panose="02020603050405020304" pitchFamily="18" charset="0"/>
                  </a:defRPr>
                </a:pPr>
                <a:r>
                  <a:rPr lang="el-GR"/>
                  <a:t>η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Times New Roman" panose="02020603050405020304" pitchFamily="18" charset="0"/>
                </a:defRPr>
              </a:pPr>
              <a:endParaRPr lang="en-US"/>
            </a:p>
          </c:txPr>
        </c:title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Times New Roman" panose="02020603050405020304" pitchFamily="18" charset="0"/>
              </a:defRPr>
            </a:pPr>
            <a:endParaRPr lang="en-US"/>
          </a:p>
        </c:txPr>
        <c:crossAx val="402725408"/>
        <c:crosses val="autoZero"/>
        <c:crossBetween val="between"/>
      </c:valAx>
      <c:valAx>
        <c:axId val="406802992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Times New Roman" panose="02020603050405020304" pitchFamily="18" charset="0"/>
                  </a:defRPr>
                </a:pPr>
                <a:r>
                  <a:rPr lang="el-GR"/>
                  <a:t>λ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Times New Roman" panose="02020603050405020304" pitchFamily="18" charset="0"/>
                </a:defRPr>
              </a:pPr>
              <a:endParaRPr lang="en-US"/>
            </a:p>
          </c:txPr>
        </c:title>
        <c:numFmt formatCode="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Times New Roman" panose="02020603050405020304" pitchFamily="18" charset="0"/>
              </a:defRPr>
            </a:pPr>
            <a:endParaRPr lang="en-US"/>
          </a:p>
        </c:txPr>
        <c:crossAx val="406826704"/>
        <c:crosses val="max"/>
        <c:crossBetween val="between"/>
      </c:valAx>
      <c:catAx>
        <c:axId val="406826704"/>
        <c:scaling>
          <c:orientation val="minMax"/>
        </c:scaling>
        <c:delete val="1"/>
        <c:axPos val="b"/>
        <c:majorTickMark val="out"/>
        <c:minorTickMark val="none"/>
        <c:tickLblPos val="nextTo"/>
        <c:crossAx val="406802992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Times New Roman" panose="02020603050405020304" pitchFamily="18" charset="0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+mn-lt"/>
          <a:cs typeface="Times New Roman" panose="02020603050405020304" pitchFamily="18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Times New Roman" panose="02020603050405020304" pitchFamily="18" charset="0"/>
              </a:defRPr>
            </a:pPr>
            <a:r>
              <a:rPr lang="en-US" sz="1200" b="1"/>
              <a:t>Gegenüberstellung</a:t>
            </a:r>
            <a:endParaRPr lang="en-US" b="1"/>
          </a:p>
          <a:p>
            <a:pPr>
              <a:defRPr/>
            </a:pPr>
            <a:r>
              <a:rPr lang="en-US" sz="1100"/>
              <a:t>Stützenbemessung nach Theorie I. und II. Ordnung</a:t>
            </a:r>
          </a:p>
          <a:p>
            <a:pPr>
              <a:defRPr/>
            </a:pPr>
            <a:r>
              <a:rPr lang="en-US" sz="1100" i="1"/>
              <a:t>Variable:</a:t>
            </a:r>
            <a:r>
              <a:rPr lang="en-US" sz="1100" i="1" baseline="0"/>
              <a:t> Stützenquersschnitt</a:t>
            </a:r>
            <a:endParaRPr lang="en-US" sz="1100" i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Times New Roman" panose="02020603050405020304" pitchFamily="18" charset="0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Theorie I. Ordnung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Parameterstudien!$K$20:$K$29</c:f>
              <c:numCache>
                <c:formatCode>0.00</c:formatCode>
                <c:ptCount val="10"/>
                <c:pt idx="0">
                  <c:v>0.6</c:v>
                </c:pt>
                <c:pt idx="1">
                  <c:v>0.6</c:v>
                </c:pt>
                <c:pt idx="2">
                  <c:v>0.6</c:v>
                </c:pt>
                <c:pt idx="3">
                  <c:v>0.6</c:v>
                </c:pt>
                <c:pt idx="4">
                  <c:v>0.6</c:v>
                </c:pt>
                <c:pt idx="5">
                  <c:v>0.6</c:v>
                </c:pt>
                <c:pt idx="6">
                  <c:v>0.6</c:v>
                </c:pt>
                <c:pt idx="7">
                  <c:v>0.6</c:v>
                </c:pt>
                <c:pt idx="8">
                  <c:v>0.6</c:v>
                </c:pt>
                <c:pt idx="9">
                  <c:v>0.6</c:v>
                </c:pt>
              </c:numCache>
            </c:numRef>
          </c:cat>
          <c:val>
            <c:numRef>
              <c:f>Parameterstudien!$AF$20:$AF$29</c:f>
              <c:numCache>
                <c:formatCode>0%</c:formatCode>
                <c:ptCount val="10"/>
                <c:pt idx="0">
                  <c:v>0.16</c:v>
                </c:pt>
                <c:pt idx="1">
                  <c:v>0.42</c:v>
                </c:pt>
                <c:pt idx="2">
                  <c:v>0.42</c:v>
                </c:pt>
                <c:pt idx="3">
                  <c:v>0.67</c:v>
                </c:pt>
                <c:pt idx="4">
                  <c:v>0.68</c:v>
                </c:pt>
                <c:pt idx="5">
                  <c:v>0.69</c:v>
                </c:pt>
                <c:pt idx="6">
                  <c:v>0.7</c:v>
                </c:pt>
                <c:pt idx="7">
                  <c:v>0.72</c:v>
                </c:pt>
                <c:pt idx="8">
                  <c:v>0.75</c:v>
                </c:pt>
                <c:pt idx="9">
                  <c:v>0.8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411-4949-BA5A-962EB3372C4C}"/>
            </c:ext>
          </c:extLst>
        </c:ser>
        <c:ser>
          <c:idx val="1"/>
          <c:order val="1"/>
          <c:tx>
            <c:v>Theorie II. Ordnung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Parameterstudien!$K$20:$K$29</c:f>
              <c:numCache>
                <c:formatCode>0.00</c:formatCode>
                <c:ptCount val="10"/>
                <c:pt idx="0">
                  <c:v>0.6</c:v>
                </c:pt>
                <c:pt idx="1">
                  <c:v>0.6</c:v>
                </c:pt>
                <c:pt idx="2">
                  <c:v>0.6</c:v>
                </c:pt>
                <c:pt idx="3">
                  <c:v>0.6</c:v>
                </c:pt>
                <c:pt idx="4">
                  <c:v>0.6</c:v>
                </c:pt>
                <c:pt idx="5">
                  <c:v>0.6</c:v>
                </c:pt>
                <c:pt idx="6">
                  <c:v>0.6</c:v>
                </c:pt>
                <c:pt idx="7">
                  <c:v>0.6</c:v>
                </c:pt>
                <c:pt idx="8">
                  <c:v>0.6</c:v>
                </c:pt>
                <c:pt idx="9">
                  <c:v>0.6</c:v>
                </c:pt>
              </c:numCache>
            </c:numRef>
          </c:cat>
          <c:val>
            <c:numRef>
              <c:f>Parameterstudien!$AQ$20:$AQ$29</c:f>
              <c:numCache>
                <c:formatCode>0%</c:formatCode>
                <c:ptCount val="10"/>
                <c:pt idx="0">
                  <c:v>0.1774511026671986</c:v>
                </c:pt>
                <c:pt idx="1">
                  <c:v>0.47951333307788147</c:v>
                </c:pt>
                <c:pt idx="2">
                  <c:v>0.48168441045883381</c:v>
                </c:pt>
                <c:pt idx="3">
                  <c:v>0.54301229736359569</c:v>
                </c:pt>
                <c:pt idx="4">
                  <c:v>0.6082318271255005</c:v>
                </c:pt>
                <c:pt idx="5">
                  <c:v>0.61723626164931</c:v>
                </c:pt>
                <c:pt idx="6">
                  <c:v>0.62860259498264337</c:v>
                </c:pt>
                <c:pt idx="7">
                  <c:v>0.6428337259350243</c:v>
                </c:pt>
                <c:pt idx="8">
                  <c:v>0.66061880926835759</c:v>
                </c:pt>
                <c:pt idx="9">
                  <c:v>0.75745271403026249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411-4949-BA5A-962EB3372C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2725408"/>
        <c:axId val="402727072"/>
      </c:lineChart>
      <c:lineChart>
        <c:grouping val="standard"/>
        <c:varyColors val="0"/>
        <c:ser>
          <c:idx val="2"/>
          <c:order val="2"/>
          <c:tx>
            <c:v>Schlankheit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dLbls>
            <c:dLbl>
              <c:idx val="2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6916-4B90-B788-B73D62C6634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Times New Roman" panose="02020603050405020304" pitchFamily="18" charset="0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Parameterstudien!$Y$20:$Y$29</c:f>
              <c:numCache>
                <c:formatCode>0</c:formatCode>
                <c:ptCount val="10"/>
                <c:pt idx="0">
                  <c:v>5.77</c:v>
                </c:pt>
                <c:pt idx="1">
                  <c:v>11.55</c:v>
                </c:pt>
                <c:pt idx="2">
                  <c:v>17.32</c:v>
                </c:pt>
                <c:pt idx="3">
                  <c:v>23.09</c:v>
                </c:pt>
                <c:pt idx="4">
                  <c:v>28.87</c:v>
                </c:pt>
                <c:pt idx="5">
                  <c:v>34.64</c:v>
                </c:pt>
                <c:pt idx="6">
                  <c:v>40.409999999999997</c:v>
                </c:pt>
                <c:pt idx="7">
                  <c:v>46.19</c:v>
                </c:pt>
                <c:pt idx="8">
                  <c:v>51.96</c:v>
                </c:pt>
                <c:pt idx="9">
                  <c:v>57.74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411-4949-BA5A-962EB3372C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6826704"/>
        <c:axId val="406802992"/>
      </c:lineChart>
      <c:catAx>
        <c:axId val="40272540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Times New Roman" panose="02020603050405020304" pitchFamily="18" charset="0"/>
                  </a:defRPr>
                </a:pPr>
                <a:r>
                  <a:rPr lang="en-US"/>
                  <a:t>M_yd [kNm]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Times New Roman" panose="02020603050405020304" pitchFamily="18" charset="0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Times New Roman" panose="02020603050405020304" pitchFamily="18" charset="0"/>
              </a:defRPr>
            </a:pPr>
            <a:endParaRPr lang="en-US"/>
          </a:p>
        </c:txPr>
        <c:crossAx val="402727072"/>
        <c:crosses val="autoZero"/>
        <c:auto val="1"/>
        <c:lblAlgn val="ctr"/>
        <c:lblOffset val="100"/>
        <c:noMultiLvlLbl val="0"/>
      </c:catAx>
      <c:valAx>
        <c:axId val="402727072"/>
        <c:scaling>
          <c:orientation val="minMax"/>
        </c:scaling>
        <c:delete val="0"/>
        <c:axPos val="l"/>
        <c:majorGridlines>
          <c:spPr>
            <a:ln w="9525" cap="sq" cmpd="sng" algn="ctr">
              <a:solidFill>
                <a:schemeClr val="tx1">
                  <a:lumMod val="15000"/>
                  <a:lumOff val="85000"/>
                  <a:alpha val="5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Times New Roman" panose="02020603050405020304" pitchFamily="18" charset="0"/>
                  </a:defRPr>
                </a:pPr>
                <a:r>
                  <a:rPr lang="el-GR"/>
                  <a:t>η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Times New Roman" panose="02020603050405020304" pitchFamily="18" charset="0"/>
                </a:defRPr>
              </a:pPr>
              <a:endParaRPr lang="en-US"/>
            </a:p>
          </c:txPr>
        </c:title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Times New Roman" panose="02020603050405020304" pitchFamily="18" charset="0"/>
              </a:defRPr>
            </a:pPr>
            <a:endParaRPr lang="en-US"/>
          </a:p>
        </c:txPr>
        <c:crossAx val="402725408"/>
        <c:crosses val="autoZero"/>
        <c:crossBetween val="between"/>
      </c:valAx>
      <c:valAx>
        <c:axId val="406802992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Times New Roman" panose="02020603050405020304" pitchFamily="18" charset="0"/>
                  </a:defRPr>
                </a:pPr>
                <a:r>
                  <a:rPr lang="el-GR"/>
                  <a:t>λ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Times New Roman" panose="02020603050405020304" pitchFamily="18" charset="0"/>
                </a:defRPr>
              </a:pPr>
              <a:endParaRPr lang="en-US"/>
            </a:p>
          </c:txPr>
        </c:title>
        <c:numFmt formatCode="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Times New Roman" panose="02020603050405020304" pitchFamily="18" charset="0"/>
              </a:defRPr>
            </a:pPr>
            <a:endParaRPr lang="en-US"/>
          </a:p>
        </c:txPr>
        <c:crossAx val="406826704"/>
        <c:crosses val="max"/>
        <c:crossBetween val="between"/>
      </c:valAx>
      <c:catAx>
        <c:axId val="406826704"/>
        <c:scaling>
          <c:orientation val="minMax"/>
        </c:scaling>
        <c:delete val="1"/>
        <c:axPos val="b"/>
        <c:majorTickMark val="out"/>
        <c:minorTickMark val="none"/>
        <c:tickLblPos val="nextTo"/>
        <c:crossAx val="406802992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Times New Roman" panose="02020603050405020304" pitchFamily="18" charset="0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+mn-lt"/>
          <a:cs typeface="Times New Roman" panose="02020603050405020304" pitchFamily="18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Times New Roman" panose="02020603050405020304" pitchFamily="18" charset="0"/>
              </a:defRPr>
            </a:pPr>
            <a:r>
              <a:rPr lang="en-US" sz="1200" b="1"/>
              <a:t>Gegenüberstellung</a:t>
            </a:r>
            <a:endParaRPr lang="en-US" b="1"/>
          </a:p>
          <a:p>
            <a:pPr>
              <a:defRPr/>
            </a:pPr>
            <a:r>
              <a:rPr lang="en-US" sz="1100"/>
              <a:t>Stützenbemessung nach Theorie I. und II. Ordnung</a:t>
            </a:r>
          </a:p>
          <a:p>
            <a:pPr>
              <a:defRPr/>
            </a:pPr>
            <a:r>
              <a:rPr lang="en-US" sz="1100" i="1"/>
              <a:t>Variable:</a:t>
            </a:r>
            <a:r>
              <a:rPr lang="en-US" sz="1100" i="1" baseline="0"/>
              <a:t> Moment um y-Achse</a:t>
            </a:r>
            <a:endParaRPr lang="en-US" sz="1100" i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Times New Roman" panose="02020603050405020304" pitchFamily="18" charset="0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Parameterstudien!$N$30:$N$39</c:f>
              <c:numCache>
                <c:formatCode>0</c:formatCode>
                <c:ptCount val="10"/>
                <c:pt idx="0">
                  <c:v>10</c:v>
                </c:pt>
                <c:pt idx="1">
                  <c:v>20</c:v>
                </c:pt>
                <c:pt idx="2">
                  <c:v>30</c:v>
                </c:pt>
                <c:pt idx="3">
                  <c:v>40</c:v>
                </c:pt>
                <c:pt idx="4">
                  <c:v>50</c:v>
                </c:pt>
                <c:pt idx="5">
                  <c:v>60</c:v>
                </c:pt>
                <c:pt idx="6">
                  <c:v>70</c:v>
                </c:pt>
                <c:pt idx="7">
                  <c:v>80</c:v>
                </c:pt>
                <c:pt idx="8">
                  <c:v>90</c:v>
                </c:pt>
                <c:pt idx="9">
                  <c:v>100</c:v>
                </c:pt>
              </c:numCache>
            </c:numRef>
          </c:cat>
          <c:val>
            <c:numRef>
              <c:f>Parameterstudien!$AF$30:$AF$39</c:f>
              <c:numCache>
                <c:formatCode>0%</c:formatCode>
                <c:ptCount val="10"/>
                <c:pt idx="0">
                  <c:v>0.84</c:v>
                </c:pt>
                <c:pt idx="1">
                  <c:v>0.88</c:v>
                </c:pt>
                <c:pt idx="2">
                  <c:v>0.92</c:v>
                </c:pt>
                <c:pt idx="3">
                  <c:v>0.95</c:v>
                </c:pt>
                <c:pt idx="4">
                  <c:v>0.99</c:v>
                </c:pt>
                <c:pt idx="5">
                  <c:v>1.03</c:v>
                </c:pt>
                <c:pt idx="6">
                  <c:v>1.06</c:v>
                </c:pt>
                <c:pt idx="7">
                  <c:v>1.1000000000000001</c:v>
                </c:pt>
                <c:pt idx="8">
                  <c:v>1.1399999999999999</c:v>
                </c:pt>
                <c:pt idx="9">
                  <c:v>1.18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73C-4606-AB85-DEF0738899CC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Parameterstudien!$N$30:$N$39</c:f>
              <c:numCache>
                <c:formatCode>0</c:formatCode>
                <c:ptCount val="10"/>
                <c:pt idx="0">
                  <c:v>10</c:v>
                </c:pt>
                <c:pt idx="1">
                  <c:v>20</c:v>
                </c:pt>
                <c:pt idx="2">
                  <c:v>30</c:v>
                </c:pt>
                <c:pt idx="3">
                  <c:v>40</c:v>
                </c:pt>
                <c:pt idx="4">
                  <c:v>50</c:v>
                </c:pt>
                <c:pt idx="5">
                  <c:v>60</c:v>
                </c:pt>
                <c:pt idx="6">
                  <c:v>70</c:v>
                </c:pt>
                <c:pt idx="7">
                  <c:v>80</c:v>
                </c:pt>
                <c:pt idx="8">
                  <c:v>90</c:v>
                </c:pt>
                <c:pt idx="9">
                  <c:v>100</c:v>
                </c:pt>
              </c:numCache>
            </c:numRef>
          </c:cat>
          <c:val>
            <c:numRef>
              <c:f>Parameterstudien!$AQ$30:$AQ$39</c:f>
              <c:numCache>
                <c:formatCode>0%</c:formatCode>
                <c:ptCount val="10"/>
                <c:pt idx="0">
                  <c:v>0.78793029478458054</c:v>
                </c:pt>
                <c:pt idx="1">
                  <c:v>0.82689315192743762</c:v>
                </c:pt>
                <c:pt idx="2">
                  <c:v>0.86589315192743777</c:v>
                </c:pt>
                <c:pt idx="3">
                  <c:v>0.90485600907029484</c:v>
                </c:pt>
                <c:pt idx="4">
                  <c:v>0.94385600907029477</c:v>
                </c:pt>
                <c:pt idx="5">
                  <c:v>0.98281886621315206</c:v>
                </c:pt>
                <c:pt idx="6">
                  <c:v>1.0217817233560091</c:v>
                </c:pt>
                <c:pt idx="7">
                  <c:v>1.0607817233560091</c:v>
                </c:pt>
                <c:pt idx="8">
                  <c:v>1.0997445804988664</c:v>
                </c:pt>
                <c:pt idx="9">
                  <c:v>1.1387074376417234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73C-4606-AB85-DEF0738899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2725408"/>
        <c:axId val="402727072"/>
      </c:lineChart>
      <c:lineChart>
        <c:grouping val="standard"/>
        <c:varyColors val="0"/>
        <c:ser>
          <c:idx val="2"/>
          <c:order val="2"/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Parameterstudien!$Y$30:$Y$39</c:f>
              <c:numCache>
                <c:formatCode>0</c:formatCode>
                <c:ptCount val="10"/>
                <c:pt idx="0">
                  <c:v>20.78</c:v>
                </c:pt>
                <c:pt idx="1">
                  <c:v>20.78</c:v>
                </c:pt>
                <c:pt idx="2">
                  <c:v>20.78</c:v>
                </c:pt>
                <c:pt idx="3">
                  <c:v>20.78</c:v>
                </c:pt>
                <c:pt idx="4">
                  <c:v>20.78</c:v>
                </c:pt>
                <c:pt idx="5">
                  <c:v>20.78</c:v>
                </c:pt>
                <c:pt idx="6">
                  <c:v>20.78</c:v>
                </c:pt>
                <c:pt idx="7">
                  <c:v>20.78</c:v>
                </c:pt>
                <c:pt idx="8">
                  <c:v>20.78</c:v>
                </c:pt>
                <c:pt idx="9">
                  <c:v>20.78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73C-4606-AB85-DEF0738899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6826704"/>
        <c:axId val="406802992"/>
      </c:lineChart>
      <c:catAx>
        <c:axId val="40272540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Times New Roman" panose="02020603050405020304" pitchFamily="18" charset="0"/>
                  </a:defRPr>
                </a:pPr>
                <a:r>
                  <a:rPr lang="en-US"/>
                  <a:t>M_yd [kNm]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Times New Roman" panose="02020603050405020304" pitchFamily="18" charset="0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Times New Roman" panose="02020603050405020304" pitchFamily="18" charset="0"/>
              </a:defRPr>
            </a:pPr>
            <a:endParaRPr lang="en-US"/>
          </a:p>
        </c:txPr>
        <c:crossAx val="402727072"/>
        <c:crosses val="autoZero"/>
        <c:auto val="1"/>
        <c:lblAlgn val="ctr"/>
        <c:lblOffset val="100"/>
        <c:noMultiLvlLbl val="0"/>
      </c:catAx>
      <c:valAx>
        <c:axId val="402727072"/>
        <c:scaling>
          <c:orientation val="minMax"/>
        </c:scaling>
        <c:delete val="0"/>
        <c:axPos val="l"/>
        <c:majorGridlines>
          <c:spPr>
            <a:ln w="9525" cap="sq" cmpd="sng" algn="ctr">
              <a:solidFill>
                <a:schemeClr val="tx1">
                  <a:lumMod val="15000"/>
                  <a:lumOff val="85000"/>
                  <a:alpha val="5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Times New Roman" panose="02020603050405020304" pitchFamily="18" charset="0"/>
                  </a:defRPr>
                </a:pPr>
                <a:r>
                  <a:rPr lang="el-GR"/>
                  <a:t>η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Times New Roman" panose="02020603050405020304" pitchFamily="18" charset="0"/>
                </a:defRPr>
              </a:pPr>
              <a:endParaRPr lang="en-US"/>
            </a:p>
          </c:txPr>
        </c:title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Times New Roman" panose="02020603050405020304" pitchFamily="18" charset="0"/>
              </a:defRPr>
            </a:pPr>
            <a:endParaRPr lang="en-US"/>
          </a:p>
        </c:txPr>
        <c:crossAx val="402725408"/>
        <c:crosses val="autoZero"/>
        <c:crossBetween val="between"/>
      </c:valAx>
      <c:valAx>
        <c:axId val="406802992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Times New Roman" panose="02020603050405020304" pitchFamily="18" charset="0"/>
                  </a:defRPr>
                </a:pPr>
                <a:r>
                  <a:rPr lang="el-GR"/>
                  <a:t>λ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Times New Roman" panose="02020603050405020304" pitchFamily="18" charset="0"/>
                </a:defRPr>
              </a:pPr>
              <a:endParaRPr lang="en-US"/>
            </a:p>
          </c:txPr>
        </c:title>
        <c:numFmt formatCode="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Times New Roman" panose="02020603050405020304" pitchFamily="18" charset="0"/>
              </a:defRPr>
            </a:pPr>
            <a:endParaRPr lang="en-US"/>
          </a:p>
        </c:txPr>
        <c:crossAx val="406826704"/>
        <c:crosses val="max"/>
        <c:crossBetween val="between"/>
      </c:valAx>
      <c:catAx>
        <c:axId val="406826704"/>
        <c:scaling>
          <c:orientation val="minMax"/>
        </c:scaling>
        <c:delete val="1"/>
        <c:axPos val="b"/>
        <c:majorTickMark val="out"/>
        <c:minorTickMark val="none"/>
        <c:tickLblPos val="nextTo"/>
        <c:crossAx val="406802992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Times New Roman" panose="02020603050405020304" pitchFamily="18" charset="0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+mn-lt"/>
          <a:cs typeface="Times New Roman" panose="02020603050405020304" pitchFamily="18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Times New Roman" panose="02020603050405020304" pitchFamily="18" charset="0"/>
              </a:defRPr>
            </a:pPr>
            <a:r>
              <a:rPr lang="en-US" sz="1200" b="1"/>
              <a:t>Gegenüberstellung</a:t>
            </a:r>
            <a:endParaRPr lang="en-US" b="1"/>
          </a:p>
          <a:p>
            <a:pPr>
              <a:defRPr/>
            </a:pPr>
            <a:r>
              <a:rPr lang="en-US" sz="1100"/>
              <a:t>Stützenbemessung nach Theorie I. und II. Ordnung</a:t>
            </a:r>
          </a:p>
          <a:p>
            <a:pPr>
              <a:defRPr/>
            </a:pPr>
            <a:r>
              <a:rPr lang="en-US" sz="1100" i="1"/>
              <a:t>Variable:</a:t>
            </a:r>
            <a:r>
              <a:rPr lang="en-US" sz="1100" i="1" baseline="0"/>
              <a:t> Moment um y-Achse</a:t>
            </a:r>
            <a:endParaRPr lang="en-US" sz="1100" i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Times New Roman" panose="02020603050405020304" pitchFamily="18" charset="0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Parameterstudien!$N$30:$N$39</c:f>
              <c:numCache>
                <c:formatCode>0</c:formatCode>
                <c:ptCount val="10"/>
                <c:pt idx="0">
                  <c:v>10</c:v>
                </c:pt>
                <c:pt idx="1">
                  <c:v>20</c:v>
                </c:pt>
                <c:pt idx="2">
                  <c:v>30</c:v>
                </c:pt>
                <c:pt idx="3">
                  <c:v>40</c:v>
                </c:pt>
                <c:pt idx="4">
                  <c:v>50</c:v>
                </c:pt>
                <c:pt idx="5">
                  <c:v>60</c:v>
                </c:pt>
                <c:pt idx="6">
                  <c:v>70</c:v>
                </c:pt>
                <c:pt idx="7">
                  <c:v>80</c:v>
                </c:pt>
                <c:pt idx="8">
                  <c:v>90</c:v>
                </c:pt>
                <c:pt idx="9">
                  <c:v>100</c:v>
                </c:pt>
              </c:numCache>
            </c:numRef>
          </c:cat>
          <c:val>
            <c:numRef>
              <c:f>Parameterstudien!$AF$50:$AF$59</c:f>
              <c:numCache>
                <c:formatCode>0%</c:formatCode>
                <c:ptCount val="10"/>
                <c:pt idx="0">
                  <c:v>1.06</c:v>
                </c:pt>
                <c:pt idx="1">
                  <c:v>1.1299999999999999</c:v>
                </c:pt>
                <c:pt idx="2">
                  <c:v>1.19</c:v>
                </c:pt>
                <c:pt idx="3">
                  <c:v>1.25</c:v>
                </c:pt>
                <c:pt idx="4">
                  <c:v>1.31</c:v>
                </c:pt>
                <c:pt idx="5">
                  <c:v>1.37</c:v>
                </c:pt>
                <c:pt idx="6">
                  <c:v>1.44</c:v>
                </c:pt>
                <c:pt idx="7">
                  <c:v>1.5</c:v>
                </c:pt>
                <c:pt idx="8">
                  <c:v>1.56</c:v>
                </c:pt>
                <c:pt idx="9">
                  <c:v>1.62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BEE-4056-BF2E-4A5FD9631D4A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Parameterstudien!$N$30:$N$39</c:f>
              <c:numCache>
                <c:formatCode>0</c:formatCode>
                <c:ptCount val="10"/>
                <c:pt idx="0">
                  <c:v>10</c:v>
                </c:pt>
                <c:pt idx="1">
                  <c:v>20</c:v>
                </c:pt>
                <c:pt idx="2">
                  <c:v>30</c:v>
                </c:pt>
                <c:pt idx="3">
                  <c:v>40</c:v>
                </c:pt>
                <c:pt idx="4">
                  <c:v>50</c:v>
                </c:pt>
                <c:pt idx="5">
                  <c:v>60</c:v>
                </c:pt>
                <c:pt idx="6">
                  <c:v>70</c:v>
                </c:pt>
                <c:pt idx="7">
                  <c:v>80</c:v>
                </c:pt>
                <c:pt idx="8">
                  <c:v>90</c:v>
                </c:pt>
                <c:pt idx="9">
                  <c:v>100</c:v>
                </c:pt>
              </c:numCache>
            </c:numRef>
          </c:cat>
          <c:val>
            <c:numRef>
              <c:f>Parameterstudien!$AQ$50:$AQ$59</c:f>
              <c:numCache>
                <c:formatCode>0%</c:formatCode>
                <c:ptCount val="10"/>
                <c:pt idx="0">
                  <c:v>0.88889749206349211</c:v>
                </c:pt>
                <c:pt idx="1">
                  <c:v>0.95665419954648545</c:v>
                </c:pt>
                <c:pt idx="2">
                  <c:v>1.0321384489795917</c:v>
                </c:pt>
                <c:pt idx="3">
                  <c:v>1.1154096689342403</c:v>
                </c:pt>
                <c:pt idx="4">
                  <c:v>1.2063601451247166</c:v>
                </c:pt>
                <c:pt idx="5">
                  <c:v>1.3050864489795919</c:v>
                </c:pt>
                <c:pt idx="6">
                  <c:v>1.4115254376417234</c:v>
                </c:pt>
                <c:pt idx="7">
                  <c:v>1.5257291111111111</c:v>
                </c:pt>
                <c:pt idx="8">
                  <c:v>1.6476714693877552</c:v>
                </c:pt>
                <c:pt idx="9">
                  <c:v>1.7773525124716554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BEE-4056-BF2E-4A5FD9631D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2725408"/>
        <c:axId val="402727072"/>
      </c:lineChart>
      <c:lineChart>
        <c:grouping val="standard"/>
        <c:varyColors val="0"/>
        <c:ser>
          <c:idx val="2"/>
          <c:order val="2"/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Parameterstudien!$Y$50:$Y$59</c:f>
              <c:numCache>
                <c:formatCode>0</c:formatCode>
                <c:ptCount val="10"/>
                <c:pt idx="0">
                  <c:v>20.78</c:v>
                </c:pt>
                <c:pt idx="1">
                  <c:v>20.78</c:v>
                </c:pt>
                <c:pt idx="2">
                  <c:v>20.78</c:v>
                </c:pt>
                <c:pt idx="3">
                  <c:v>20.78</c:v>
                </c:pt>
                <c:pt idx="4">
                  <c:v>20.78</c:v>
                </c:pt>
                <c:pt idx="5">
                  <c:v>20.78</c:v>
                </c:pt>
                <c:pt idx="6">
                  <c:v>20.78</c:v>
                </c:pt>
                <c:pt idx="7">
                  <c:v>20.78</c:v>
                </c:pt>
                <c:pt idx="8">
                  <c:v>20.78</c:v>
                </c:pt>
                <c:pt idx="9">
                  <c:v>20.78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BEE-4056-BF2E-4A5FD9631D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6826704"/>
        <c:axId val="406802992"/>
      </c:lineChart>
      <c:catAx>
        <c:axId val="40272540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Times New Roman" panose="02020603050405020304" pitchFamily="18" charset="0"/>
                  </a:defRPr>
                </a:pPr>
                <a:r>
                  <a:rPr lang="en-US"/>
                  <a:t>M_yd [kNm]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Times New Roman" panose="02020603050405020304" pitchFamily="18" charset="0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Times New Roman" panose="02020603050405020304" pitchFamily="18" charset="0"/>
              </a:defRPr>
            </a:pPr>
            <a:endParaRPr lang="en-US"/>
          </a:p>
        </c:txPr>
        <c:crossAx val="402727072"/>
        <c:crosses val="autoZero"/>
        <c:auto val="1"/>
        <c:lblAlgn val="ctr"/>
        <c:lblOffset val="100"/>
        <c:noMultiLvlLbl val="0"/>
      </c:catAx>
      <c:valAx>
        <c:axId val="402727072"/>
        <c:scaling>
          <c:orientation val="minMax"/>
        </c:scaling>
        <c:delete val="0"/>
        <c:axPos val="l"/>
        <c:majorGridlines>
          <c:spPr>
            <a:ln w="9525" cap="sq" cmpd="sng" algn="ctr">
              <a:solidFill>
                <a:schemeClr val="tx1">
                  <a:lumMod val="15000"/>
                  <a:lumOff val="85000"/>
                  <a:alpha val="5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Times New Roman" panose="02020603050405020304" pitchFamily="18" charset="0"/>
                  </a:defRPr>
                </a:pPr>
                <a:r>
                  <a:rPr lang="el-GR"/>
                  <a:t>η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Times New Roman" panose="02020603050405020304" pitchFamily="18" charset="0"/>
                </a:defRPr>
              </a:pPr>
              <a:endParaRPr lang="en-US"/>
            </a:p>
          </c:txPr>
        </c:title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Times New Roman" panose="02020603050405020304" pitchFamily="18" charset="0"/>
              </a:defRPr>
            </a:pPr>
            <a:endParaRPr lang="en-US"/>
          </a:p>
        </c:txPr>
        <c:crossAx val="402725408"/>
        <c:crosses val="autoZero"/>
        <c:crossBetween val="between"/>
      </c:valAx>
      <c:valAx>
        <c:axId val="406802992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Times New Roman" panose="02020603050405020304" pitchFamily="18" charset="0"/>
                  </a:defRPr>
                </a:pPr>
                <a:r>
                  <a:rPr lang="el-GR"/>
                  <a:t>λ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Times New Roman" panose="02020603050405020304" pitchFamily="18" charset="0"/>
                </a:defRPr>
              </a:pPr>
              <a:endParaRPr lang="en-US"/>
            </a:p>
          </c:txPr>
        </c:title>
        <c:numFmt formatCode="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Times New Roman" panose="02020603050405020304" pitchFamily="18" charset="0"/>
              </a:defRPr>
            </a:pPr>
            <a:endParaRPr lang="en-US"/>
          </a:p>
        </c:txPr>
        <c:crossAx val="406826704"/>
        <c:crosses val="max"/>
        <c:crossBetween val="between"/>
      </c:valAx>
      <c:catAx>
        <c:axId val="406826704"/>
        <c:scaling>
          <c:orientation val="minMax"/>
        </c:scaling>
        <c:delete val="1"/>
        <c:axPos val="b"/>
        <c:majorTickMark val="out"/>
        <c:minorTickMark val="none"/>
        <c:tickLblPos val="nextTo"/>
        <c:crossAx val="406802992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Times New Roman" panose="02020603050405020304" pitchFamily="18" charset="0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+mn-lt"/>
          <a:cs typeface="Times New Roman" panose="02020603050405020304" pitchFamily="18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Times New Roman" panose="02020603050405020304" pitchFamily="18" charset="0"/>
              </a:defRPr>
            </a:pPr>
            <a:r>
              <a:rPr lang="en-US" sz="1200" b="1"/>
              <a:t>Gegenüberstellung</a:t>
            </a:r>
            <a:endParaRPr lang="en-US" b="1"/>
          </a:p>
          <a:p>
            <a:pPr>
              <a:defRPr/>
            </a:pPr>
            <a:r>
              <a:rPr lang="en-US" sz="1100"/>
              <a:t>Stützenbemessung nach Theorie I. und II. Ordnung</a:t>
            </a:r>
          </a:p>
          <a:p>
            <a:pPr>
              <a:defRPr/>
            </a:pPr>
            <a:r>
              <a:rPr lang="en-US" sz="1100" i="1"/>
              <a:t>Variable:</a:t>
            </a:r>
            <a:r>
              <a:rPr lang="en-US" sz="1100" i="1" baseline="0"/>
              <a:t> Moment um y-Achse</a:t>
            </a:r>
            <a:endParaRPr lang="en-US" sz="1100" i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Times New Roman" panose="02020603050405020304" pitchFamily="18" charset="0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Parameterstudien!$N$30:$N$39</c:f>
              <c:numCache>
                <c:formatCode>0</c:formatCode>
                <c:ptCount val="10"/>
                <c:pt idx="0">
                  <c:v>10</c:v>
                </c:pt>
                <c:pt idx="1">
                  <c:v>20</c:v>
                </c:pt>
                <c:pt idx="2">
                  <c:v>30</c:v>
                </c:pt>
                <c:pt idx="3">
                  <c:v>40</c:v>
                </c:pt>
                <c:pt idx="4">
                  <c:v>50</c:v>
                </c:pt>
                <c:pt idx="5">
                  <c:v>60</c:v>
                </c:pt>
                <c:pt idx="6">
                  <c:v>70</c:v>
                </c:pt>
                <c:pt idx="7">
                  <c:v>80</c:v>
                </c:pt>
                <c:pt idx="8">
                  <c:v>90</c:v>
                </c:pt>
                <c:pt idx="9">
                  <c:v>100</c:v>
                </c:pt>
              </c:numCache>
            </c:numRef>
          </c:cat>
          <c:val>
            <c:numRef>
              <c:f>Parameterstudien!$AF$60:$AF$69</c:f>
              <c:numCache>
                <c:formatCode>0%</c:formatCode>
                <c:ptCount val="10"/>
                <c:pt idx="0">
                  <c:v>6.3</c:v>
                </c:pt>
                <c:pt idx="1">
                  <c:v>1.1000000000000001</c:v>
                </c:pt>
                <c:pt idx="2">
                  <c:v>0.54</c:v>
                </c:pt>
                <c:pt idx="3">
                  <c:v>0.35</c:v>
                </c:pt>
                <c:pt idx="4">
                  <c:v>0.25</c:v>
                </c:pt>
                <c:pt idx="5">
                  <c:v>0.21</c:v>
                </c:pt>
                <c:pt idx="6">
                  <c:v>0.18</c:v>
                </c:pt>
                <c:pt idx="7">
                  <c:v>0.16</c:v>
                </c:pt>
                <c:pt idx="8">
                  <c:v>0.14000000000000001</c:v>
                </c:pt>
                <c:pt idx="9">
                  <c:v>0.13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306-489C-B662-491EE254C093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Parameterstudien!$N$30:$N$39</c:f>
              <c:numCache>
                <c:formatCode>0</c:formatCode>
                <c:ptCount val="10"/>
                <c:pt idx="0">
                  <c:v>10</c:v>
                </c:pt>
                <c:pt idx="1">
                  <c:v>20</c:v>
                </c:pt>
                <c:pt idx="2">
                  <c:v>30</c:v>
                </c:pt>
                <c:pt idx="3">
                  <c:v>40</c:v>
                </c:pt>
                <c:pt idx="4">
                  <c:v>50</c:v>
                </c:pt>
                <c:pt idx="5">
                  <c:v>60</c:v>
                </c:pt>
                <c:pt idx="6">
                  <c:v>70</c:v>
                </c:pt>
                <c:pt idx="7">
                  <c:v>80</c:v>
                </c:pt>
                <c:pt idx="8">
                  <c:v>90</c:v>
                </c:pt>
                <c:pt idx="9">
                  <c:v>100</c:v>
                </c:pt>
              </c:numCache>
            </c:numRef>
          </c:cat>
          <c:val>
            <c:numRef>
              <c:f>Parameterstudien!$AQ$60:$AQ$69</c:f>
              <c:numCache>
                <c:formatCode>0%</c:formatCode>
                <c:ptCount val="10"/>
                <c:pt idx="0">
                  <c:v>402.5405214852608</c:v>
                </c:pt>
                <c:pt idx="1">
                  <c:v>1.5816187641723356</c:v>
                </c:pt>
                <c:pt idx="2">
                  <c:v>0.69401732772738745</c:v>
                </c:pt>
                <c:pt idx="3">
                  <c:v>0.42557165532879815</c:v>
                </c:pt>
                <c:pt idx="4">
                  <c:v>0.30475257369614511</c:v>
                </c:pt>
                <c:pt idx="5">
                  <c:v>0.23973488252708497</c:v>
                </c:pt>
                <c:pt idx="6">
                  <c:v>0.2006999817205794</c:v>
                </c:pt>
                <c:pt idx="7">
                  <c:v>0.17541614299886621</c:v>
                </c:pt>
                <c:pt idx="8">
                  <c:v>0.15809366472103245</c:v>
                </c:pt>
                <c:pt idx="9">
                  <c:v>0.14571725056689344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306-489C-B662-491EE254C0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2725408"/>
        <c:axId val="402727072"/>
      </c:lineChart>
      <c:lineChart>
        <c:grouping val="standard"/>
        <c:varyColors val="0"/>
        <c:ser>
          <c:idx val="2"/>
          <c:order val="2"/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Parameterstudien!$Y$50:$Y$59</c:f>
              <c:numCache>
                <c:formatCode>0</c:formatCode>
                <c:ptCount val="10"/>
                <c:pt idx="0">
                  <c:v>20.78</c:v>
                </c:pt>
                <c:pt idx="1">
                  <c:v>20.78</c:v>
                </c:pt>
                <c:pt idx="2">
                  <c:v>20.78</c:v>
                </c:pt>
                <c:pt idx="3">
                  <c:v>20.78</c:v>
                </c:pt>
                <c:pt idx="4">
                  <c:v>20.78</c:v>
                </c:pt>
                <c:pt idx="5">
                  <c:v>20.78</c:v>
                </c:pt>
                <c:pt idx="6">
                  <c:v>20.78</c:v>
                </c:pt>
                <c:pt idx="7">
                  <c:v>20.78</c:v>
                </c:pt>
                <c:pt idx="8">
                  <c:v>20.78</c:v>
                </c:pt>
                <c:pt idx="9">
                  <c:v>20.78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306-489C-B662-491EE254C0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6826704"/>
        <c:axId val="406802992"/>
      </c:lineChart>
      <c:catAx>
        <c:axId val="40272540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Times New Roman" panose="02020603050405020304" pitchFamily="18" charset="0"/>
                  </a:defRPr>
                </a:pPr>
                <a:r>
                  <a:rPr lang="en-US"/>
                  <a:t>M_yd [kNm]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Times New Roman" panose="02020603050405020304" pitchFamily="18" charset="0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Times New Roman" panose="02020603050405020304" pitchFamily="18" charset="0"/>
              </a:defRPr>
            </a:pPr>
            <a:endParaRPr lang="en-US"/>
          </a:p>
        </c:txPr>
        <c:crossAx val="402727072"/>
        <c:crosses val="autoZero"/>
        <c:auto val="1"/>
        <c:lblAlgn val="ctr"/>
        <c:lblOffset val="100"/>
        <c:noMultiLvlLbl val="0"/>
      </c:catAx>
      <c:valAx>
        <c:axId val="402727072"/>
        <c:scaling>
          <c:orientation val="minMax"/>
        </c:scaling>
        <c:delete val="0"/>
        <c:axPos val="l"/>
        <c:majorGridlines>
          <c:spPr>
            <a:ln w="9525" cap="sq" cmpd="sng" algn="ctr">
              <a:solidFill>
                <a:schemeClr val="tx1">
                  <a:lumMod val="15000"/>
                  <a:lumOff val="85000"/>
                  <a:alpha val="5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Times New Roman" panose="02020603050405020304" pitchFamily="18" charset="0"/>
                  </a:defRPr>
                </a:pPr>
                <a:r>
                  <a:rPr lang="el-GR"/>
                  <a:t>η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Times New Roman" panose="02020603050405020304" pitchFamily="18" charset="0"/>
                </a:defRPr>
              </a:pPr>
              <a:endParaRPr lang="en-US"/>
            </a:p>
          </c:txPr>
        </c:title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Times New Roman" panose="02020603050405020304" pitchFamily="18" charset="0"/>
              </a:defRPr>
            </a:pPr>
            <a:endParaRPr lang="en-US"/>
          </a:p>
        </c:txPr>
        <c:crossAx val="402725408"/>
        <c:crosses val="autoZero"/>
        <c:crossBetween val="between"/>
      </c:valAx>
      <c:valAx>
        <c:axId val="406802992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Times New Roman" panose="02020603050405020304" pitchFamily="18" charset="0"/>
                  </a:defRPr>
                </a:pPr>
                <a:r>
                  <a:rPr lang="el-GR"/>
                  <a:t>λ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Times New Roman" panose="02020603050405020304" pitchFamily="18" charset="0"/>
                </a:defRPr>
              </a:pPr>
              <a:endParaRPr lang="en-US"/>
            </a:p>
          </c:txPr>
        </c:title>
        <c:numFmt formatCode="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Times New Roman" panose="02020603050405020304" pitchFamily="18" charset="0"/>
              </a:defRPr>
            </a:pPr>
            <a:endParaRPr lang="en-US"/>
          </a:p>
        </c:txPr>
        <c:crossAx val="406826704"/>
        <c:crosses val="max"/>
        <c:crossBetween val="between"/>
      </c:valAx>
      <c:catAx>
        <c:axId val="406826704"/>
        <c:scaling>
          <c:orientation val="minMax"/>
        </c:scaling>
        <c:delete val="1"/>
        <c:axPos val="b"/>
        <c:majorTickMark val="out"/>
        <c:minorTickMark val="none"/>
        <c:tickLblPos val="nextTo"/>
        <c:crossAx val="406802992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Times New Roman" panose="02020603050405020304" pitchFamily="18" charset="0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+mn-lt"/>
          <a:cs typeface="Times New Roman" panose="02020603050405020304" pitchFamily="18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Times New Roman" panose="02020603050405020304" pitchFamily="18" charset="0"/>
              </a:defRPr>
            </a:pPr>
            <a:r>
              <a:rPr lang="en-US" sz="1200" b="1"/>
              <a:t>Gegenüberstellung</a:t>
            </a:r>
            <a:endParaRPr lang="en-US" b="1"/>
          </a:p>
          <a:p>
            <a:pPr>
              <a:defRPr/>
            </a:pPr>
            <a:r>
              <a:rPr lang="en-US" sz="1100"/>
              <a:t>Stützenbemessung nach Theorie I. und II. Ordnung</a:t>
            </a:r>
          </a:p>
          <a:p>
            <a:pPr>
              <a:defRPr/>
            </a:pPr>
            <a:r>
              <a:rPr lang="en-US" sz="1100" i="1"/>
              <a:t>Variable:</a:t>
            </a:r>
            <a:r>
              <a:rPr lang="en-US" sz="1100" i="1" baseline="0"/>
              <a:t> Moment um y-Achse</a:t>
            </a:r>
            <a:endParaRPr lang="en-US" sz="1100" i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Times New Roman" panose="02020603050405020304" pitchFamily="18" charset="0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Parameterstudien!$N$30:$N$39</c:f>
              <c:numCache>
                <c:formatCode>0</c:formatCode>
                <c:ptCount val="10"/>
                <c:pt idx="0">
                  <c:v>10</c:v>
                </c:pt>
                <c:pt idx="1">
                  <c:v>20</c:v>
                </c:pt>
                <c:pt idx="2">
                  <c:v>30</c:v>
                </c:pt>
                <c:pt idx="3">
                  <c:v>40</c:v>
                </c:pt>
                <c:pt idx="4">
                  <c:v>50</c:v>
                </c:pt>
                <c:pt idx="5">
                  <c:v>60</c:v>
                </c:pt>
                <c:pt idx="6">
                  <c:v>70</c:v>
                </c:pt>
                <c:pt idx="7">
                  <c:v>80</c:v>
                </c:pt>
                <c:pt idx="8">
                  <c:v>90</c:v>
                </c:pt>
                <c:pt idx="9">
                  <c:v>100</c:v>
                </c:pt>
              </c:numCache>
            </c:numRef>
          </c:cat>
          <c:val>
            <c:numRef>
              <c:f>Parameterstudien!$AF$60:$AF$69</c:f>
              <c:numCache>
                <c:formatCode>0%</c:formatCode>
                <c:ptCount val="10"/>
                <c:pt idx="0">
                  <c:v>6.3</c:v>
                </c:pt>
                <c:pt idx="1">
                  <c:v>1.1000000000000001</c:v>
                </c:pt>
                <c:pt idx="2">
                  <c:v>0.54</c:v>
                </c:pt>
                <c:pt idx="3">
                  <c:v>0.35</c:v>
                </c:pt>
                <c:pt idx="4">
                  <c:v>0.25</c:v>
                </c:pt>
                <c:pt idx="5">
                  <c:v>0.21</c:v>
                </c:pt>
                <c:pt idx="6">
                  <c:v>0.18</c:v>
                </c:pt>
                <c:pt idx="7">
                  <c:v>0.16</c:v>
                </c:pt>
                <c:pt idx="8">
                  <c:v>0.14000000000000001</c:v>
                </c:pt>
                <c:pt idx="9">
                  <c:v>0.13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709-44AB-8465-F711EE1274A8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Parameterstudien!$N$30:$N$39</c:f>
              <c:numCache>
                <c:formatCode>0</c:formatCode>
                <c:ptCount val="10"/>
                <c:pt idx="0">
                  <c:v>10</c:v>
                </c:pt>
                <c:pt idx="1">
                  <c:v>20</c:v>
                </c:pt>
                <c:pt idx="2">
                  <c:v>30</c:v>
                </c:pt>
                <c:pt idx="3">
                  <c:v>40</c:v>
                </c:pt>
                <c:pt idx="4">
                  <c:v>50</c:v>
                </c:pt>
                <c:pt idx="5">
                  <c:v>60</c:v>
                </c:pt>
                <c:pt idx="6">
                  <c:v>70</c:v>
                </c:pt>
                <c:pt idx="7">
                  <c:v>80</c:v>
                </c:pt>
                <c:pt idx="8">
                  <c:v>90</c:v>
                </c:pt>
                <c:pt idx="9">
                  <c:v>100</c:v>
                </c:pt>
              </c:numCache>
            </c:numRef>
          </c:cat>
          <c:val>
            <c:numRef>
              <c:f>Parameterstudien!$AQ$60:$AQ$69</c:f>
              <c:numCache>
                <c:formatCode>0%</c:formatCode>
                <c:ptCount val="10"/>
                <c:pt idx="0">
                  <c:v>402.5405214852608</c:v>
                </c:pt>
                <c:pt idx="1">
                  <c:v>1.5816187641723356</c:v>
                </c:pt>
                <c:pt idx="2">
                  <c:v>0.69401732772738745</c:v>
                </c:pt>
                <c:pt idx="3">
                  <c:v>0.42557165532879815</c:v>
                </c:pt>
                <c:pt idx="4">
                  <c:v>0.30475257369614511</c:v>
                </c:pt>
                <c:pt idx="5">
                  <c:v>0.23973488252708497</c:v>
                </c:pt>
                <c:pt idx="6">
                  <c:v>0.2006999817205794</c:v>
                </c:pt>
                <c:pt idx="7">
                  <c:v>0.17541614299886621</c:v>
                </c:pt>
                <c:pt idx="8">
                  <c:v>0.15809366472103245</c:v>
                </c:pt>
                <c:pt idx="9">
                  <c:v>0.14571725056689344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709-44AB-8465-F711EE1274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2725408"/>
        <c:axId val="402727072"/>
      </c:lineChart>
      <c:lineChart>
        <c:grouping val="standard"/>
        <c:varyColors val="0"/>
        <c:ser>
          <c:idx val="2"/>
          <c:order val="2"/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Parameterstudien!$Y$50:$Y$59</c:f>
              <c:numCache>
                <c:formatCode>0</c:formatCode>
                <c:ptCount val="10"/>
                <c:pt idx="0">
                  <c:v>20.78</c:v>
                </c:pt>
                <c:pt idx="1">
                  <c:v>20.78</c:v>
                </c:pt>
                <c:pt idx="2">
                  <c:v>20.78</c:v>
                </c:pt>
                <c:pt idx="3">
                  <c:v>20.78</c:v>
                </c:pt>
                <c:pt idx="4">
                  <c:v>20.78</c:v>
                </c:pt>
                <c:pt idx="5">
                  <c:v>20.78</c:v>
                </c:pt>
                <c:pt idx="6">
                  <c:v>20.78</c:v>
                </c:pt>
                <c:pt idx="7">
                  <c:v>20.78</c:v>
                </c:pt>
                <c:pt idx="8">
                  <c:v>20.78</c:v>
                </c:pt>
                <c:pt idx="9">
                  <c:v>20.78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709-44AB-8465-F711EE1274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6826704"/>
        <c:axId val="406802992"/>
      </c:lineChart>
      <c:catAx>
        <c:axId val="40272540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Times New Roman" panose="02020603050405020304" pitchFamily="18" charset="0"/>
                  </a:defRPr>
                </a:pPr>
                <a:r>
                  <a:rPr lang="en-US"/>
                  <a:t>M_yd [kNm]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Times New Roman" panose="02020603050405020304" pitchFamily="18" charset="0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Times New Roman" panose="02020603050405020304" pitchFamily="18" charset="0"/>
              </a:defRPr>
            </a:pPr>
            <a:endParaRPr lang="en-US"/>
          </a:p>
        </c:txPr>
        <c:crossAx val="402727072"/>
        <c:crosses val="autoZero"/>
        <c:auto val="1"/>
        <c:lblAlgn val="ctr"/>
        <c:lblOffset val="100"/>
        <c:noMultiLvlLbl val="0"/>
      </c:catAx>
      <c:valAx>
        <c:axId val="402727072"/>
        <c:scaling>
          <c:orientation val="minMax"/>
        </c:scaling>
        <c:delete val="0"/>
        <c:axPos val="l"/>
        <c:majorGridlines>
          <c:spPr>
            <a:ln w="9525" cap="sq" cmpd="sng" algn="ctr">
              <a:solidFill>
                <a:schemeClr val="tx1">
                  <a:lumMod val="15000"/>
                  <a:lumOff val="85000"/>
                  <a:alpha val="5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Times New Roman" panose="02020603050405020304" pitchFamily="18" charset="0"/>
                  </a:defRPr>
                </a:pPr>
                <a:r>
                  <a:rPr lang="el-GR"/>
                  <a:t>η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Times New Roman" panose="02020603050405020304" pitchFamily="18" charset="0"/>
                </a:defRPr>
              </a:pPr>
              <a:endParaRPr lang="en-US"/>
            </a:p>
          </c:txPr>
        </c:title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Times New Roman" panose="02020603050405020304" pitchFamily="18" charset="0"/>
              </a:defRPr>
            </a:pPr>
            <a:endParaRPr lang="en-US"/>
          </a:p>
        </c:txPr>
        <c:crossAx val="402725408"/>
        <c:crosses val="autoZero"/>
        <c:crossBetween val="between"/>
      </c:valAx>
      <c:valAx>
        <c:axId val="406802992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Times New Roman" panose="02020603050405020304" pitchFamily="18" charset="0"/>
                  </a:defRPr>
                </a:pPr>
                <a:r>
                  <a:rPr lang="el-GR"/>
                  <a:t>λ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Times New Roman" panose="02020603050405020304" pitchFamily="18" charset="0"/>
                </a:defRPr>
              </a:pPr>
              <a:endParaRPr lang="en-US"/>
            </a:p>
          </c:txPr>
        </c:title>
        <c:numFmt formatCode="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Times New Roman" panose="02020603050405020304" pitchFamily="18" charset="0"/>
              </a:defRPr>
            </a:pPr>
            <a:endParaRPr lang="en-US"/>
          </a:p>
        </c:txPr>
        <c:crossAx val="406826704"/>
        <c:crosses val="max"/>
        <c:crossBetween val="between"/>
      </c:valAx>
      <c:catAx>
        <c:axId val="406826704"/>
        <c:scaling>
          <c:orientation val="minMax"/>
        </c:scaling>
        <c:delete val="1"/>
        <c:axPos val="b"/>
        <c:majorTickMark val="out"/>
        <c:minorTickMark val="none"/>
        <c:tickLblPos val="nextTo"/>
        <c:crossAx val="406802992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Times New Roman" panose="02020603050405020304" pitchFamily="18" charset="0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+mn-lt"/>
          <a:cs typeface="Times New Roman" panose="02020603050405020304" pitchFamily="18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39757</xdr:colOff>
      <xdr:row>1</xdr:row>
      <xdr:rowOff>59637</xdr:rowOff>
    </xdr:from>
    <xdr:to>
      <xdr:col>4</xdr:col>
      <xdr:colOff>23191</xdr:colOff>
      <xdr:row>4</xdr:row>
      <xdr:rowOff>93145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196F8492-1CE0-41D3-BC01-451BCE79755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5531" y="168967"/>
          <a:ext cx="2342321" cy="977726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724048</xdr:colOff>
      <xdr:row>20</xdr:row>
      <xdr:rowOff>9261</xdr:rowOff>
    </xdr:from>
    <xdr:to>
      <xdr:col>4</xdr:col>
      <xdr:colOff>47773</xdr:colOff>
      <xdr:row>21</xdr:row>
      <xdr:rowOff>31168</xdr:rowOff>
    </xdr:to>
    <xdr:sp macro="[0]!ec5_group_loads" textlink="">
      <xdr:nvSpPr>
        <xdr:cNvPr id="8" name="Rectangle: Rounded Corners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/>
      </xdr:nvSpPr>
      <xdr:spPr>
        <a:xfrm>
          <a:off x="1638448" y="5047986"/>
          <a:ext cx="914400" cy="274320"/>
        </a:xfrm>
        <a:prstGeom prst="roundRect">
          <a:avLst/>
        </a:prstGeom>
        <a:solidFill>
          <a:srgbClr val="92D050"/>
        </a:solidFill>
        <a:ln w="3175"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100">
              <a:solidFill>
                <a:schemeClr val="tx1"/>
              </a:solidFill>
            </a:rPr>
            <a:t>Runden</a:t>
          </a:r>
        </a:p>
      </xdr:txBody>
    </xdr:sp>
    <xdr:clientData/>
  </xdr:twoCellAnchor>
  <xdr:twoCellAnchor>
    <xdr:from>
      <xdr:col>2</xdr:col>
      <xdr:colOff>724048</xdr:colOff>
      <xdr:row>40</xdr:row>
      <xdr:rowOff>84567</xdr:rowOff>
    </xdr:from>
    <xdr:to>
      <xdr:col>4</xdr:col>
      <xdr:colOff>47773</xdr:colOff>
      <xdr:row>41</xdr:row>
      <xdr:rowOff>106475</xdr:rowOff>
    </xdr:to>
    <xdr:sp macro="[0]!ec5_show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/>
      </xdr:nvSpPr>
      <xdr:spPr>
        <a:xfrm>
          <a:off x="1638448" y="9414305"/>
          <a:ext cx="914400" cy="274320"/>
        </a:xfrm>
        <a:prstGeom prst="roundRect">
          <a:avLst/>
        </a:prstGeom>
        <a:solidFill>
          <a:srgbClr val="92D050"/>
        </a:solidFill>
        <a:ln w="3175"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050">
              <a:solidFill>
                <a:schemeClr val="tx1"/>
              </a:solidFill>
            </a:rPr>
            <a:t>Lang</a:t>
          </a:r>
        </a:p>
      </xdr:txBody>
    </xdr:sp>
    <xdr:clientData/>
  </xdr:twoCellAnchor>
  <xdr:twoCellAnchor>
    <xdr:from>
      <xdr:col>1</xdr:col>
      <xdr:colOff>103691</xdr:colOff>
      <xdr:row>40</xdr:row>
      <xdr:rowOff>84567</xdr:rowOff>
    </xdr:from>
    <xdr:to>
      <xdr:col>2</xdr:col>
      <xdr:colOff>222754</xdr:colOff>
      <xdr:row>41</xdr:row>
      <xdr:rowOff>106475</xdr:rowOff>
    </xdr:to>
    <xdr:sp macro="[0]!ec5_hide" textlink="">
      <xdr:nvSpPr>
        <xdr:cNvPr id="14" name="Rectangle: Rounded Corners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SpPr/>
      </xdr:nvSpPr>
      <xdr:spPr>
        <a:xfrm>
          <a:off x="222754" y="9414305"/>
          <a:ext cx="914400" cy="274320"/>
        </a:xfrm>
        <a:prstGeom prst="roundRect">
          <a:avLst/>
        </a:prstGeom>
        <a:solidFill>
          <a:srgbClr val="92D050"/>
        </a:solidFill>
        <a:ln w="3175"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050">
              <a:solidFill>
                <a:schemeClr val="tx1"/>
              </a:solidFill>
            </a:rPr>
            <a:t>Kurz</a:t>
          </a:r>
        </a:p>
      </xdr:txBody>
    </xdr:sp>
    <xdr:clientData/>
  </xdr:twoCellAnchor>
  <xdr:twoCellAnchor>
    <xdr:from>
      <xdr:col>42</xdr:col>
      <xdr:colOff>182473</xdr:colOff>
      <xdr:row>3</xdr:row>
      <xdr:rowOff>95250</xdr:rowOff>
    </xdr:from>
    <xdr:to>
      <xdr:col>42</xdr:col>
      <xdr:colOff>913993</xdr:colOff>
      <xdr:row>4</xdr:row>
      <xdr:rowOff>55245</xdr:rowOff>
    </xdr:to>
    <xdr:sp macro="[0]!ec5_th2_iteration" textlink="">
      <xdr:nvSpPr>
        <xdr:cNvPr id="15" name="Rectangle: Rounded Corners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SpPr/>
      </xdr:nvSpPr>
      <xdr:spPr>
        <a:xfrm>
          <a:off x="11936323" y="847725"/>
          <a:ext cx="731520" cy="274320"/>
        </a:xfrm>
        <a:prstGeom prst="roundRect">
          <a:avLst/>
        </a:prstGeom>
        <a:solidFill>
          <a:srgbClr val="92D050"/>
        </a:solidFill>
        <a:ln w="3175"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050" b="0">
              <a:solidFill>
                <a:schemeClr val="tx1"/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</a:rPr>
            <a:t>Rechnen</a:t>
          </a:r>
        </a:p>
      </xdr:txBody>
    </xdr:sp>
    <xdr:clientData/>
  </xdr:twoCellAnchor>
  <xdr:twoCellAnchor>
    <xdr:from>
      <xdr:col>32</xdr:col>
      <xdr:colOff>178118</xdr:colOff>
      <xdr:row>3</xdr:row>
      <xdr:rowOff>95250</xdr:rowOff>
    </xdr:from>
    <xdr:to>
      <xdr:col>32</xdr:col>
      <xdr:colOff>909638</xdr:colOff>
      <xdr:row>4</xdr:row>
      <xdr:rowOff>55245</xdr:rowOff>
    </xdr:to>
    <xdr:sp macro="[0]!esv_iteration" textlink="">
      <xdr:nvSpPr>
        <xdr:cNvPr id="17" name="Rectangle: Rounded Corners 16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SpPr/>
      </xdr:nvSpPr>
      <xdr:spPr>
        <a:xfrm>
          <a:off x="10627043" y="847725"/>
          <a:ext cx="731520" cy="274320"/>
        </a:xfrm>
        <a:prstGeom prst="roundRect">
          <a:avLst/>
        </a:prstGeom>
        <a:solidFill>
          <a:srgbClr val="92D050"/>
        </a:solidFill>
        <a:ln w="3175"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050" b="0">
              <a:solidFill>
                <a:schemeClr val="tx1"/>
              </a:solidFill>
            </a:rPr>
            <a:t>Rechnen</a:t>
          </a:r>
        </a:p>
      </xdr:txBody>
    </xdr:sp>
    <xdr:clientData/>
  </xdr:twoCellAnchor>
  <xdr:twoCellAnchor>
    <xdr:from>
      <xdr:col>2</xdr:col>
      <xdr:colOff>724048</xdr:colOff>
      <xdr:row>13</xdr:row>
      <xdr:rowOff>207382</xdr:rowOff>
    </xdr:from>
    <xdr:to>
      <xdr:col>4</xdr:col>
      <xdr:colOff>47773</xdr:colOff>
      <xdr:row>14</xdr:row>
      <xdr:rowOff>229290</xdr:rowOff>
    </xdr:to>
    <xdr:sp macro="[0]!ec5_import_data" textlink="">
      <xdr:nvSpPr>
        <xdr:cNvPr id="20" name="Rectangle: Rounded Corners 19">
          <a:extLs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SpPr/>
      </xdr:nvSpPr>
      <xdr:spPr>
        <a:xfrm>
          <a:off x="1638448" y="3479220"/>
          <a:ext cx="914400" cy="274320"/>
        </a:xfrm>
        <a:prstGeom prst="roundRect">
          <a:avLst/>
        </a:prstGeom>
        <a:solidFill>
          <a:srgbClr val="92D050"/>
        </a:solidFill>
        <a:ln w="3175"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100">
              <a:solidFill>
                <a:schemeClr val="tx1"/>
              </a:solidFill>
            </a:rPr>
            <a:t>Importieren</a:t>
          </a:r>
        </a:p>
      </xdr:txBody>
    </xdr:sp>
    <xdr:clientData/>
  </xdr:twoCellAnchor>
  <xdr:twoCellAnchor>
    <xdr:from>
      <xdr:col>59</xdr:col>
      <xdr:colOff>239078</xdr:colOff>
      <xdr:row>3</xdr:row>
      <xdr:rowOff>95250</xdr:rowOff>
    </xdr:from>
    <xdr:to>
      <xdr:col>59</xdr:col>
      <xdr:colOff>970598</xdr:colOff>
      <xdr:row>4</xdr:row>
      <xdr:rowOff>55245</xdr:rowOff>
    </xdr:to>
    <xdr:sp macro="[0]!ec5_optimierung" textlink="">
      <xdr:nvSpPr>
        <xdr:cNvPr id="21" name="Rectangle: Rounded Corners 20">
          <a:extLst>
            <a:ext uri="{FF2B5EF4-FFF2-40B4-BE49-F238E27FC236}">
              <a16:creationId xmlns:a16="http://schemas.microsoft.com/office/drawing/2014/main" id="{00000000-0008-0000-0100-000015000000}"/>
            </a:ext>
          </a:extLst>
        </xdr:cNvPr>
        <xdr:cNvSpPr/>
      </xdr:nvSpPr>
      <xdr:spPr>
        <a:xfrm>
          <a:off x="13297853" y="847725"/>
          <a:ext cx="731520" cy="274320"/>
        </a:xfrm>
        <a:prstGeom prst="roundRect">
          <a:avLst/>
        </a:prstGeom>
        <a:solidFill>
          <a:srgbClr val="92D050"/>
        </a:solidFill>
        <a:ln w="3175"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050" b="0">
              <a:solidFill>
                <a:schemeClr val="tx1"/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</a:rPr>
            <a:t>Rechnen</a:t>
          </a:r>
        </a:p>
      </xdr:txBody>
    </xdr:sp>
    <xdr:clientData/>
  </xdr:twoCellAnchor>
  <xdr:twoCellAnchor>
    <xdr:from>
      <xdr:col>61</xdr:col>
      <xdr:colOff>253145</xdr:colOff>
      <xdr:row>3</xdr:row>
      <xdr:rowOff>95250</xdr:rowOff>
    </xdr:from>
    <xdr:to>
      <xdr:col>61</xdr:col>
      <xdr:colOff>984665</xdr:colOff>
      <xdr:row>4</xdr:row>
      <xdr:rowOff>55245</xdr:rowOff>
    </xdr:to>
    <xdr:sp macro="[0]!ec5_pdf" textlink="">
      <xdr:nvSpPr>
        <xdr:cNvPr id="10" name="Rectangle: Rounded Corners 9">
          <a:extLst>
            <a:ext uri="{FF2B5EF4-FFF2-40B4-BE49-F238E27FC236}">
              <a16:creationId xmlns:a16="http://schemas.microsoft.com/office/drawing/2014/main" id="{1C3AADAD-649B-4547-BCC2-B3B58FC68A66}"/>
            </a:ext>
          </a:extLst>
        </xdr:cNvPr>
        <xdr:cNvSpPr/>
      </xdr:nvSpPr>
      <xdr:spPr>
        <a:xfrm>
          <a:off x="14616845" y="847725"/>
          <a:ext cx="731520" cy="274320"/>
        </a:xfrm>
        <a:prstGeom prst="roundRect">
          <a:avLst/>
        </a:prstGeom>
        <a:solidFill>
          <a:srgbClr val="92D050"/>
        </a:solidFill>
        <a:ln w="3175"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050" b="0">
              <a:solidFill>
                <a:schemeClr val="tx1"/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</a:rPr>
            <a:t>PDF</a:t>
          </a:r>
        </a:p>
      </xdr:txBody>
    </xdr:sp>
    <xdr:clientData/>
  </xdr:twoCellAnchor>
  <xdr:twoCellAnchor>
    <xdr:from>
      <xdr:col>61</xdr:col>
      <xdr:colOff>252045</xdr:colOff>
      <xdr:row>1</xdr:row>
      <xdr:rowOff>211015</xdr:rowOff>
    </xdr:from>
    <xdr:to>
      <xdr:col>61</xdr:col>
      <xdr:colOff>983565</xdr:colOff>
      <xdr:row>2</xdr:row>
      <xdr:rowOff>171010</xdr:rowOff>
    </xdr:to>
    <xdr:sp macro="[0]!ec5_cad" textlink="">
      <xdr:nvSpPr>
        <xdr:cNvPr id="11" name="Rectangle: Rounded Corners 10">
          <a:extLst>
            <a:ext uri="{FF2B5EF4-FFF2-40B4-BE49-F238E27FC236}">
              <a16:creationId xmlns:a16="http://schemas.microsoft.com/office/drawing/2014/main" id="{A8FB5CB2-FB50-46EE-BAC8-684D8D2B1BAA}"/>
            </a:ext>
          </a:extLst>
        </xdr:cNvPr>
        <xdr:cNvSpPr/>
      </xdr:nvSpPr>
      <xdr:spPr>
        <a:xfrm>
          <a:off x="14615745" y="334840"/>
          <a:ext cx="731520" cy="274320"/>
        </a:xfrm>
        <a:prstGeom prst="roundRect">
          <a:avLst/>
        </a:prstGeom>
        <a:solidFill>
          <a:srgbClr val="92D050"/>
        </a:solidFill>
        <a:ln w="3175"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050" b="0">
              <a:solidFill>
                <a:schemeClr val="tx1"/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</a:rPr>
            <a:t>CAD</a:t>
          </a:r>
        </a:p>
      </xdr:txBody>
    </xdr:sp>
    <xdr:clientData/>
  </xdr:twoCellAnchor>
  <xdr:twoCellAnchor editAs="oneCell">
    <xdr:from>
      <xdr:col>1</xdr:col>
      <xdr:colOff>357188</xdr:colOff>
      <xdr:row>1</xdr:row>
      <xdr:rowOff>66675</xdr:rowOff>
    </xdr:from>
    <xdr:to>
      <xdr:col>4</xdr:col>
      <xdr:colOff>743669</xdr:colOff>
      <xdr:row>4</xdr:row>
      <xdr:rowOff>280987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C3A0616C-1E27-A5AA-1B9A-FC4DC14B870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52451" y="252413"/>
          <a:ext cx="2772493" cy="1157287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717175</xdr:colOff>
      <xdr:row>26</xdr:row>
      <xdr:rowOff>332509</xdr:rowOff>
    </xdr:from>
    <xdr:to>
      <xdr:col>3</xdr:col>
      <xdr:colOff>721331</xdr:colOff>
      <xdr:row>27</xdr:row>
      <xdr:rowOff>331123</xdr:rowOff>
    </xdr:to>
    <xdr:sp macro="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1680066" y="8672945"/>
          <a:ext cx="731520" cy="365760"/>
        </a:xfrm>
        <a:prstGeom prst="roundRect">
          <a:avLst/>
        </a:prstGeom>
        <a:solidFill>
          <a:srgbClr val="92D050"/>
        </a:solidFill>
        <a:ln w="3175"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100">
              <a:solidFill>
                <a:schemeClr val="tx1"/>
              </a:solidFill>
            </a:rPr>
            <a:t>Runden</a:t>
          </a:r>
        </a:p>
      </xdr:txBody>
    </xdr:sp>
    <xdr:clientData/>
  </xdr:twoCellAnchor>
  <xdr:twoCellAnchor>
    <xdr:from>
      <xdr:col>3</xdr:col>
      <xdr:colOff>4481</xdr:colOff>
      <xdr:row>47</xdr:row>
      <xdr:rowOff>13447</xdr:rowOff>
    </xdr:from>
    <xdr:to>
      <xdr:col>4</xdr:col>
      <xdr:colOff>8638</xdr:colOff>
      <xdr:row>48</xdr:row>
      <xdr:rowOff>12062</xdr:rowOff>
    </xdr:to>
    <xdr:sp macro="[0]!ec5_show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1694736" y="16063938"/>
          <a:ext cx="731520" cy="365760"/>
        </a:xfrm>
        <a:prstGeom prst="roundRect">
          <a:avLst/>
        </a:prstGeom>
        <a:solidFill>
          <a:srgbClr val="92D050"/>
        </a:solidFill>
        <a:ln w="3175"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050">
              <a:solidFill>
                <a:schemeClr val="tx1"/>
              </a:solidFill>
            </a:rPr>
            <a:t>Lang</a:t>
          </a:r>
        </a:p>
      </xdr:txBody>
    </xdr:sp>
    <xdr:clientData/>
  </xdr:twoCellAnchor>
  <xdr:twoCellAnchor>
    <xdr:from>
      <xdr:col>4</xdr:col>
      <xdr:colOff>217715</xdr:colOff>
      <xdr:row>18</xdr:row>
      <xdr:rowOff>339434</xdr:rowOff>
    </xdr:from>
    <xdr:to>
      <xdr:col>4</xdr:col>
      <xdr:colOff>949497</xdr:colOff>
      <xdr:row>19</xdr:row>
      <xdr:rowOff>338049</xdr:rowOff>
    </xdr:to>
    <xdr:sp macro="[0]!ec5_th2_iteration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/>
      </xdr:nvSpPr>
      <xdr:spPr>
        <a:xfrm>
          <a:off x="2635333" y="5742707"/>
          <a:ext cx="731782" cy="365760"/>
        </a:xfrm>
        <a:prstGeom prst="roundRect">
          <a:avLst/>
        </a:prstGeom>
        <a:solidFill>
          <a:srgbClr val="92D050"/>
        </a:solidFill>
        <a:ln w="3175"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050">
              <a:solidFill>
                <a:schemeClr val="tx1"/>
              </a:solidFill>
            </a:rPr>
            <a:t>Rechnen</a:t>
          </a:r>
        </a:p>
      </xdr:txBody>
    </xdr:sp>
    <xdr:clientData/>
  </xdr:twoCellAnchor>
  <xdr:twoCellAnchor>
    <xdr:from>
      <xdr:col>4</xdr:col>
      <xdr:colOff>201706</xdr:colOff>
      <xdr:row>15</xdr:row>
      <xdr:rowOff>332509</xdr:rowOff>
    </xdr:from>
    <xdr:to>
      <xdr:col>4</xdr:col>
      <xdr:colOff>933488</xdr:colOff>
      <xdr:row>16</xdr:row>
      <xdr:rowOff>331123</xdr:rowOff>
    </xdr:to>
    <xdr:sp macro="[0]!esv_iteration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/>
      </xdr:nvSpPr>
      <xdr:spPr>
        <a:xfrm>
          <a:off x="2619324" y="4634345"/>
          <a:ext cx="731782" cy="365760"/>
        </a:xfrm>
        <a:prstGeom prst="roundRect">
          <a:avLst/>
        </a:prstGeom>
        <a:solidFill>
          <a:srgbClr val="92D050"/>
        </a:solidFill>
        <a:ln w="3175"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050">
              <a:solidFill>
                <a:schemeClr val="tx1"/>
              </a:solidFill>
            </a:rPr>
            <a:t>Rechnen</a:t>
          </a:r>
        </a:p>
      </xdr:txBody>
    </xdr:sp>
    <xdr:clientData/>
  </xdr:twoCellAnchor>
  <xdr:twoCellAnchor>
    <xdr:from>
      <xdr:col>3</xdr:col>
      <xdr:colOff>-1</xdr:colOff>
      <xdr:row>43</xdr:row>
      <xdr:rowOff>41564</xdr:rowOff>
    </xdr:from>
    <xdr:to>
      <xdr:col>4</xdr:col>
      <xdr:colOff>4156</xdr:colOff>
      <xdr:row>44</xdr:row>
      <xdr:rowOff>40178</xdr:rowOff>
    </xdr:to>
    <xdr:sp macro="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/>
      </xdr:nvSpPr>
      <xdr:spPr>
        <a:xfrm>
          <a:off x="1690254" y="14623473"/>
          <a:ext cx="731520" cy="365760"/>
        </a:xfrm>
        <a:prstGeom prst="roundRect">
          <a:avLst/>
        </a:prstGeom>
        <a:solidFill>
          <a:srgbClr val="92D050"/>
        </a:solidFill>
        <a:ln w="3175"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050">
              <a:solidFill>
                <a:schemeClr val="tx1"/>
              </a:solidFill>
            </a:rPr>
            <a:t>Rechnen</a:t>
          </a:r>
        </a:p>
      </xdr:txBody>
    </xdr:sp>
    <xdr:clientData/>
  </xdr:twoCellAnchor>
  <xdr:twoCellAnchor>
    <xdr:from>
      <xdr:col>1</xdr:col>
      <xdr:colOff>98611</xdr:colOff>
      <xdr:row>47</xdr:row>
      <xdr:rowOff>13447</xdr:rowOff>
    </xdr:from>
    <xdr:to>
      <xdr:col>2</xdr:col>
      <xdr:colOff>102767</xdr:colOff>
      <xdr:row>48</xdr:row>
      <xdr:rowOff>12062</xdr:rowOff>
    </xdr:to>
    <xdr:sp macro="[0]!ec5_hide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SpPr/>
      </xdr:nvSpPr>
      <xdr:spPr>
        <a:xfrm>
          <a:off x="334138" y="16063938"/>
          <a:ext cx="731520" cy="365760"/>
        </a:xfrm>
        <a:prstGeom prst="roundRect">
          <a:avLst/>
        </a:prstGeom>
        <a:solidFill>
          <a:srgbClr val="92D050"/>
        </a:solidFill>
        <a:ln w="3175"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050">
              <a:solidFill>
                <a:schemeClr val="tx1"/>
              </a:solidFill>
            </a:rPr>
            <a:t>Kurz</a:t>
          </a:r>
        </a:p>
      </xdr:txBody>
    </xdr:sp>
    <xdr:clientData/>
  </xdr:twoCellAnchor>
  <xdr:twoCellAnchor>
    <xdr:from>
      <xdr:col>52</xdr:col>
      <xdr:colOff>265956</xdr:colOff>
      <xdr:row>9</xdr:row>
      <xdr:rowOff>122713</xdr:rowOff>
    </xdr:from>
    <xdr:to>
      <xdr:col>60</xdr:col>
      <xdr:colOff>376793</xdr:colOff>
      <xdr:row>18</xdr:row>
      <xdr:rowOff>293124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52</xdr:col>
      <xdr:colOff>265956</xdr:colOff>
      <xdr:row>19</xdr:row>
      <xdr:rowOff>121724</xdr:rowOff>
    </xdr:from>
    <xdr:to>
      <xdr:col>60</xdr:col>
      <xdr:colOff>376793</xdr:colOff>
      <xdr:row>28</xdr:row>
      <xdr:rowOff>292135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52</xdr:col>
      <xdr:colOff>265956</xdr:colOff>
      <xdr:row>29</xdr:row>
      <xdr:rowOff>120734</xdr:rowOff>
    </xdr:from>
    <xdr:to>
      <xdr:col>60</xdr:col>
      <xdr:colOff>376793</xdr:colOff>
      <xdr:row>38</xdr:row>
      <xdr:rowOff>291145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52</xdr:col>
      <xdr:colOff>265956</xdr:colOff>
      <xdr:row>39</xdr:row>
      <xdr:rowOff>119745</xdr:rowOff>
    </xdr:from>
    <xdr:to>
      <xdr:col>60</xdr:col>
      <xdr:colOff>376793</xdr:colOff>
      <xdr:row>48</xdr:row>
      <xdr:rowOff>290156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52</xdr:col>
      <xdr:colOff>265956</xdr:colOff>
      <xdr:row>49</xdr:row>
      <xdr:rowOff>118755</xdr:rowOff>
    </xdr:from>
    <xdr:to>
      <xdr:col>60</xdr:col>
      <xdr:colOff>376793</xdr:colOff>
      <xdr:row>58</xdr:row>
      <xdr:rowOff>289166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52</xdr:col>
      <xdr:colOff>265956</xdr:colOff>
      <xdr:row>59</xdr:row>
      <xdr:rowOff>117764</xdr:rowOff>
    </xdr:from>
    <xdr:to>
      <xdr:col>60</xdr:col>
      <xdr:colOff>376793</xdr:colOff>
      <xdr:row>68</xdr:row>
      <xdr:rowOff>288175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00000000-0008-0000-03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16</xdr:col>
      <xdr:colOff>31203</xdr:colOff>
      <xdr:row>23</xdr:row>
      <xdr:rowOff>164060</xdr:rowOff>
    </xdr:from>
    <xdr:ext cx="186333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9" name="Textfeld 28">
              <a:extLst>
                <a:ext uri="{FF2B5EF4-FFF2-40B4-BE49-F238E27FC236}">
                  <a16:creationId xmlns:a16="http://schemas.microsoft.com/office/drawing/2014/main" id="{00000000-0008-0000-0500-000009000000}"/>
                </a:ext>
              </a:extLst>
            </xdr:cNvPr>
            <xdr:cNvSpPr txBox="1"/>
          </xdr:nvSpPr>
          <xdr:spPr>
            <a:xfrm>
              <a:off x="31203" y="5600930"/>
              <a:ext cx="186333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de-DE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Pr>
                      <m:e>
                        <m:r>
                          <a:rPr lang="de-DE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𝛾</m:t>
                        </m:r>
                      </m:e>
                      <m:sub>
                        <m:r>
                          <a:rPr lang="de-DE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𝑚</m:t>
                        </m:r>
                      </m:sub>
                    </m:sSub>
                  </m:oMath>
                </m:oMathPara>
              </a14:m>
              <a:endParaRPr lang="de-DE" sz="1100"/>
            </a:p>
          </xdr:txBody>
        </xdr:sp>
      </mc:Choice>
      <mc:Fallback xmlns="">
        <xdr:sp macro="" textlink="">
          <xdr:nvSpPr>
            <xdr:cNvPr id="9" name="Textfeld 28">
              <a:extLst>
                <a:ext uri="{FF2B5EF4-FFF2-40B4-BE49-F238E27FC236}">
                  <a16:creationId xmlns:a16="http://schemas.microsoft.com/office/drawing/2014/main" id="{00000000-0008-0000-0500-000009000000}"/>
                </a:ext>
              </a:extLst>
            </xdr:cNvPr>
            <xdr:cNvSpPr txBox="1"/>
          </xdr:nvSpPr>
          <xdr:spPr>
            <a:xfrm>
              <a:off x="31203" y="5600930"/>
              <a:ext cx="186333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de-DE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𝛾_𝑚</a:t>
              </a:r>
              <a:endParaRPr lang="de-DE" sz="1100"/>
            </a:p>
          </xdr:txBody>
        </xdr:sp>
      </mc:Fallback>
    </mc:AlternateContent>
    <xdr:clientData/>
  </xdr:oneCellAnchor>
  <xdr:oneCellAnchor>
    <xdr:from>
      <xdr:col>0</xdr:col>
      <xdr:colOff>0</xdr:colOff>
      <xdr:row>24</xdr:row>
      <xdr:rowOff>0</xdr:rowOff>
    </xdr:from>
    <xdr:ext cx="341568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0" name="Textfeld 28">
              <a:extLst>
                <a:ext uri="{FF2B5EF4-FFF2-40B4-BE49-F238E27FC236}">
                  <a16:creationId xmlns:a16="http://schemas.microsoft.com/office/drawing/2014/main" id="{00000000-0008-0000-0500-00000A000000}"/>
                </a:ext>
              </a:extLst>
            </xdr:cNvPr>
            <xdr:cNvSpPr txBox="1"/>
          </xdr:nvSpPr>
          <xdr:spPr>
            <a:xfrm>
              <a:off x="0" y="5436870"/>
              <a:ext cx="341568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de-DE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de-DE" sz="1100" b="0" i="1">
                            <a:latin typeface="Cambria Math" panose="02040503050406030204" pitchFamily="18" charset="0"/>
                          </a:rPr>
                          <m:t>𝑘</m:t>
                        </m:r>
                      </m:e>
                      <m:sub>
                        <m:r>
                          <a:rPr lang="de-DE" sz="1100" b="0" i="1">
                            <a:latin typeface="Cambria Math" panose="02040503050406030204" pitchFamily="18" charset="0"/>
                          </a:rPr>
                          <m:t>𝑚𝑜𝑑</m:t>
                        </m:r>
                      </m:sub>
                    </m:sSub>
                  </m:oMath>
                </m:oMathPara>
              </a14:m>
              <a:endParaRPr lang="de-DE" sz="1100"/>
            </a:p>
          </xdr:txBody>
        </xdr:sp>
      </mc:Choice>
      <mc:Fallback xmlns="">
        <xdr:sp macro="" textlink="">
          <xdr:nvSpPr>
            <xdr:cNvPr id="10" name="Textfeld 28">
              <a:extLst>
                <a:ext uri="{FF2B5EF4-FFF2-40B4-BE49-F238E27FC236}">
                  <a16:creationId xmlns:a16="http://schemas.microsoft.com/office/drawing/2014/main" id="{00000000-0008-0000-0500-00000A000000}"/>
                </a:ext>
              </a:extLst>
            </xdr:cNvPr>
            <xdr:cNvSpPr txBox="1"/>
          </xdr:nvSpPr>
          <xdr:spPr>
            <a:xfrm>
              <a:off x="0" y="5436870"/>
              <a:ext cx="341568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de-DE" sz="1100" b="0" i="0">
                  <a:latin typeface="Cambria Math" panose="02040503050406030204" pitchFamily="18" charset="0"/>
                </a:rPr>
                <a:t>𝑘_𝑚𝑜𝑑</a:t>
              </a:r>
              <a:endParaRPr lang="de-DE" sz="1100"/>
            </a:p>
          </xdr:txBody>
        </xdr:sp>
      </mc:Fallback>
    </mc:AlternateContent>
    <xdr:clientData/>
  </xdr:oneCellAnchor>
  <xdr:oneCellAnchor>
    <xdr:from>
      <xdr:col>0</xdr:col>
      <xdr:colOff>4762</xdr:colOff>
      <xdr:row>19</xdr:row>
      <xdr:rowOff>169068</xdr:rowOff>
    </xdr:from>
    <xdr:ext cx="315599" cy="17697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1" name="Textfeld 28">
              <a:extLst>
                <a:ext uri="{FF2B5EF4-FFF2-40B4-BE49-F238E27FC236}">
                  <a16:creationId xmlns:a16="http://schemas.microsoft.com/office/drawing/2014/main" id="{00000000-0008-0000-0500-00000B000000}"/>
                </a:ext>
              </a:extLst>
            </xdr:cNvPr>
            <xdr:cNvSpPr txBox="1"/>
          </xdr:nvSpPr>
          <xdr:spPr>
            <a:xfrm>
              <a:off x="4762" y="7669325"/>
              <a:ext cx="315599" cy="17697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de-DE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de-DE" sz="1100" b="0" i="1">
                            <a:latin typeface="Cambria Math" panose="02040503050406030204" pitchFamily="18" charset="0"/>
                          </a:rPr>
                          <m:t>𝑓</m:t>
                        </m:r>
                      </m:e>
                      <m:sub>
                        <m:r>
                          <a:rPr lang="de-DE" sz="1100" b="0" i="1">
                            <a:latin typeface="Cambria Math" panose="02040503050406030204" pitchFamily="18" charset="0"/>
                          </a:rPr>
                          <m:t>𝑐</m:t>
                        </m:r>
                        <m:r>
                          <a:rPr lang="de-DE" sz="1100" b="0" i="1">
                            <a:latin typeface="Cambria Math" panose="02040503050406030204" pitchFamily="18" charset="0"/>
                          </a:rPr>
                          <m:t>,0,</m:t>
                        </m:r>
                        <m:r>
                          <a:rPr lang="de-DE" sz="1100" b="0" i="1">
                            <a:latin typeface="Cambria Math" panose="02040503050406030204" pitchFamily="18" charset="0"/>
                          </a:rPr>
                          <m:t>𝑘</m:t>
                        </m:r>
                      </m:sub>
                    </m:sSub>
                  </m:oMath>
                </m:oMathPara>
              </a14:m>
              <a:endParaRPr lang="de-DE" sz="1100"/>
            </a:p>
          </xdr:txBody>
        </xdr:sp>
      </mc:Choice>
      <mc:Fallback xmlns="">
        <xdr:sp macro="" textlink="">
          <xdr:nvSpPr>
            <xdr:cNvPr id="11" name="Textfeld 28">
              <a:extLst>
                <a:ext uri="{FF2B5EF4-FFF2-40B4-BE49-F238E27FC236}">
                  <a16:creationId xmlns:a16="http://schemas.microsoft.com/office/drawing/2014/main" id="{00000000-0008-0000-0500-00000B000000}"/>
                </a:ext>
              </a:extLst>
            </xdr:cNvPr>
            <xdr:cNvSpPr txBox="1"/>
          </xdr:nvSpPr>
          <xdr:spPr>
            <a:xfrm>
              <a:off x="4762" y="7669325"/>
              <a:ext cx="315599" cy="17697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de-DE" sz="1100" b="0" i="0">
                  <a:latin typeface="Cambria Math" panose="02040503050406030204" pitchFamily="18" charset="0"/>
                </a:rPr>
                <a:t>𝑓_(𝑐,0,𝑘)</a:t>
              </a:r>
              <a:endParaRPr lang="de-DE" sz="1100"/>
            </a:p>
          </xdr:txBody>
        </xdr:sp>
      </mc:Fallback>
    </mc:AlternateContent>
    <xdr:clientData/>
  </xdr:oneCellAnchor>
  <xdr:oneCellAnchor>
    <xdr:from>
      <xdr:col>16</xdr:col>
      <xdr:colOff>0</xdr:colOff>
      <xdr:row>20</xdr:row>
      <xdr:rowOff>0</xdr:rowOff>
    </xdr:from>
    <xdr:ext cx="366511" cy="18293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2" name="Textfeld 28">
              <a:extLst>
                <a:ext uri="{FF2B5EF4-FFF2-40B4-BE49-F238E27FC236}">
                  <a16:creationId xmlns:a16="http://schemas.microsoft.com/office/drawing/2014/main" id="{00000000-0008-0000-0500-00000C000000}"/>
                </a:ext>
              </a:extLst>
            </xdr:cNvPr>
            <xdr:cNvSpPr txBox="1"/>
          </xdr:nvSpPr>
          <xdr:spPr>
            <a:xfrm>
              <a:off x="0" y="6717030"/>
              <a:ext cx="366511" cy="18293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de-DE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de-DE" sz="1100" b="0" i="1">
                            <a:latin typeface="Cambria Math" panose="02040503050406030204" pitchFamily="18" charset="0"/>
                          </a:rPr>
                          <m:t>𝑓</m:t>
                        </m:r>
                      </m:e>
                      <m:sub>
                        <m:r>
                          <a:rPr lang="de-DE" sz="1100" b="0" i="1">
                            <a:latin typeface="Cambria Math" panose="02040503050406030204" pitchFamily="18" charset="0"/>
                          </a:rPr>
                          <m:t>𝑚</m:t>
                        </m:r>
                        <m:r>
                          <a:rPr lang="de-DE" sz="1100" b="0" i="1">
                            <a:latin typeface="Cambria Math" panose="02040503050406030204" pitchFamily="18" charset="0"/>
                          </a:rPr>
                          <m:t>,</m:t>
                        </m:r>
                        <m:r>
                          <a:rPr lang="de-DE" sz="1100" b="0" i="1">
                            <a:latin typeface="Cambria Math" panose="02040503050406030204" pitchFamily="18" charset="0"/>
                          </a:rPr>
                          <m:t>𝑦</m:t>
                        </m:r>
                        <m:r>
                          <a:rPr lang="de-DE" sz="1100" b="0" i="1">
                            <a:latin typeface="Cambria Math" panose="02040503050406030204" pitchFamily="18" charset="0"/>
                          </a:rPr>
                          <m:t>,</m:t>
                        </m:r>
                        <m:r>
                          <a:rPr lang="de-DE" sz="1100" b="0" i="1">
                            <a:latin typeface="Cambria Math" panose="02040503050406030204" pitchFamily="18" charset="0"/>
                          </a:rPr>
                          <m:t>𝑘</m:t>
                        </m:r>
                      </m:sub>
                    </m:sSub>
                  </m:oMath>
                </m:oMathPara>
              </a14:m>
              <a:endParaRPr lang="de-DE" sz="1100"/>
            </a:p>
          </xdr:txBody>
        </xdr:sp>
      </mc:Choice>
      <mc:Fallback xmlns="">
        <xdr:sp macro="" textlink="">
          <xdr:nvSpPr>
            <xdr:cNvPr id="12" name="Textfeld 28">
              <a:extLst>
                <a:ext uri="{FF2B5EF4-FFF2-40B4-BE49-F238E27FC236}">
                  <a16:creationId xmlns:a16="http://schemas.microsoft.com/office/drawing/2014/main" id="{00000000-0008-0000-0500-00000C000000}"/>
                </a:ext>
              </a:extLst>
            </xdr:cNvPr>
            <xdr:cNvSpPr txBox="1"/>
          </xdr:nvSpPr>
          <xdr:spPr>
            <a:xfrm>
              <a:off x="0" y="6717030"/>
              <a:ext cx="366511" cy="18293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de-DE" sz="1100" b="0" i="0">
                  <a:latin typeface="Cambria Math" panose="02040503050406030204" pitchFamily="18" charset="0"/>
                </a:rPr>
                <a:t>𝑓_(𝑚,𝑦,𝑘)</a:t>
              </a:r>
              <a:endParaRPr lang="de-DE" sz="1100"/>
            </a:p>
          </xdr:txBody>
        </xdr:sp>
      </mc:Fallback>
    </mc:AlternateContent>
    <xdr:clientData/>
  </xdr:oneCellAnchor>
  <xdr:oneCellAnchor>
    <xdr:from>
      <xdr:col>2</xdr:col>
      <xdr:colOff>114300</xdr:colOff>
      <xdr:row>54</xdr:row>
      <xdr:rowOff>11430</xdr:rowOff>
    </xdr:from>
    <xdr:ext cx="1458059" cy="47699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9" name="Textfeld 21">
              <a:extLst>
                <a:ext uri="{FF2B5EF4-FFF2-40B4-BE49-F238E27FC236}">
                  <a16:creationId xmlns:a16="http://schemas.microsoft.com/office/drawing/2014/main" id="{00000000-0008-0000-0500-000013000000}"/>
                </a:ext>
              </a:extLst>
            </xdr:cNvPr>
            <xdr:cNvSpPr txBox="1"/>
          </xdr:nvSpPr>
          <xdr:spPr>
            <a:xfrm>
              <a:off x="403860" y="10934700"/>
              <a:ext cx="1458059" cy="47699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de-DE" sz="110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Pr>
                      <m:e>
                        <m:r>
                          <a:rPr lang="de-DE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𝑒</m:t>
                        </m:r>
                      </m:e>
                      <m:sub>
                        <m:r>
                          <a:rPr lang="de-DE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𝑖</m:t>
                        </m:r>
                      </m:sub>
                    </m:sSub>
                    <m:r>
                      <a:rPr lang="de-DE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=</m:t>
                    </m:r>
                    <m:f>
                      <m:fPr>
                        <m:ctrlPr>
                          <a:rPr lang="de-DE" sz="110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de-DE" sz="11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de-DE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𝑀</m:t>
                            </m:r>
                          </m:e>
                          <m:sub>
                            <m:r>
                              <a:rPr lang="de-DE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𝑖</m:t>
                            </m:r>
                          </m:sub>
                        </m:sSub>
                        <m:r>
                          <a:rPr lang="de-DE" sz="1100" b="0" i="1">
                            <a:latin typeface="Cambria Math"/>
                          </a:rPr>
                          <m:t>∗</m:t>
                        </m:r>
                        <m:sSub>
                          <m:sSubPr>
                            <m:ctrlPr>
                              <a:rPr lang="de-DE" sz="11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de-DE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𝐿</m:t>
                            </m:r>
                          </m:e>
                          <m:sub>
                            <m:r>
                              <a:rPr lang="de-DE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𝑒𝑓𝑓</m:t>
                            </m:r>
                          </m:sub>
                        </m:sSub>
                        <m:r>
                          <a:rPr lang="de-DE" sz="1100" b="0" i="1">
                            <a:latin typeface="Cambria Math"/>
                          </a:rPr>
                          <m:t>²</m:t>
                        </m:r>
                      </m:num>
                      <m:den>
                        <m:sSub>
                          <m:sSubPr>
                            <m:ctrlPr>
                              <a:rPr lang="de-DE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de-DE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𝐸</m:t>
                            </m:r>
                          </m:e>
                          <m:sub>
                            <m:r>
                              <a:rPr lang="de-DE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0,05</m:t>
                            </m:r>
                          </m:sub>
                        </m:sSub>
                        <m:r>
                          <a:rPr lang="de-DE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∗</m:t>
                        </m:r>
                        <m:r>
                          <a:rPr lang="de-DE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𝐼</m:t>
                        </m:r>
                        <m:r>
                          <a:rPr lang="de-DE" sz="1100" b="0" i="1">
                            <a:latin typeface="Cambria Math" panose="02040503050406030204" pitchFamily="18" charset="0"/>
                          </a:rPr>
                          <m:t>∗</m:t>
                        </m:r>
                        <m:sSup>
                          <m:sSupPr>
                            <m:ctrlPr>
                              <a:rPr lang="de-DE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pPr>
                          <m:e>
                            <m:r>
                              <a:rPr lang="de-DE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𝜋</m:t>
                            </m:r>
                          </m:e>
                          <m:sup>
                            <m:r>
                              <a:rPr lang="de-DE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2</m:t>
                            </m:r>
                          </m:sup>
                        </m:sSup>
                      </m:den>
                    </m:f>
                  </m:oMath>
                </m:oMathPara>
              </a14:m>
              <a:endParaRPr lang="de-DE" sz="1100"/>
            </a:p>
          </xdr:txBody>
        </xdr:sp>
      </mc:Choice>
      <mc:Fallback xmlns="">
        <xdr:sp macro="" textlink="">
          <xdr:nvSpPr>
            <xdr:cNvPr id="19" name="Textfeld 21">
              <a:extLst>
                <a:ext uri="{FF2B5EF4-FFF2-40B4-BE49-F238E27FC236}">
                  <a16:creationId xmlns:a16="http://schemas.microsoft.com/office/drawing/2014/main" id="{790B6F58-2BE8-4168-8429-EAA32433DE43}"/>
                </a:ext>
              </a:extLst>
            </xdr:cNvPr>
            <xdr:cNvSpPr txBox="1"/>
          </xdr:nvSpPr>
          <xdr:spPr>
            <a:xfrm>
              <a:off x="403860" y="10934700"/>
              <a:ext cx="1458059" cy="47699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:pPr/>
              <a:r>
                <a:rPr lang="de-DE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𝑒_𝑖=</a:t>
              </a:r>
              <a:r>
                <a:rPr lang="de-DE" sz="1100" i="0">
                  <a:latin typeface="Cambria Math" panose="02040503050406030204" pitchFamily="18" charset="0"/>
                </a:rPr>
                <a:t>(</a:t>
              </a:r>
              <a:r>
                <a:rPr lang="de-DE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𝑀_𝑖</a:t>
              </a:r>
              <a:r>
                <a:rPr lang="de-DE" sz="1100" b="0" i="0">
                  <a:latin typeface="Cambria Math"/>
                </a:rPr>
                <a:t>∗</a:t>
              </a:r>
              <a:r>
                <a:rPr lang="de-DE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𝐿_𝑒𝑓𝑓</a:t>
              </a:r>
              <a:r>
                <a:rPr lang="de-DE" sz="1100" b="0" i="0">
                  <a:solidFill>
                    <a:schemeClr val="tx1"/>
                  </a:solidFill>
                  <a:effectLst/>
                  <a:latin typeface="Cambria Math"/>
                  <a:ea typeface="+mn-ea"/>
                  <a:cs typeface="+mn-cs"/>
                </a:rPr>
                <a:t> </a:t>
              </a:r>
              <a:r>
                <a:rPr lang="de-DE" sz="1100" b="0" i="0">
                  <a:latin typeface="Cambria Math"/>
                </a:rPr>
                <a:t>²</a:t>
              </a:r>
              <a:r>
                <a:rPr lang="de-DE" sz="1100" b="0" i="0">
                  <a:latin typeface="Cambria Math" panose="02040503050406030204" pitchFamily="18" charset="0"/>
                </a:rPr>
                <a:t>)/(</a:t>
              </a:r>
              <a:r>
                <a:rPr lang="de-DE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𝐸_0,05∗𝐼</a:t>
              </a:r>
              <a:r>
                <a:rPr lang="de-DE" sz="1100" b="0" i="0">
                  <a:latin typeface="Cambria Math" panose="02040503050406030204" pitchFamily="18" charset="0"/>
                </a:rPr>
                <a:t>∗</a:t>
              </a:r>
              <a:r>
                <a:rPr lang="de-DE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𝜋^2 )</a:t>
              </a:r>
              <a:endParaRPr lang="de-DE" sz="1100"/>
            </a:p>
          </xdr:txBody>
        </xdr:sp>
      </mc:Fallback>
    </mc:AlternateContent>
    <xdr:clientData/>
  </xdr:oneCellAnchor>
  <xdr:oneCellAnchor>
    <xdr:from>
      <xdr:col>17</xdr:col>
      <xdr:colOff>0</xdr:colOff>
      <xdr:row>54</xdr:row>
      <xdr:rowOff>144780</xdr:rowOff>
    </xdr:from>
    <xdr:ext cx="1458059" cy="275268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0" name="Textfeld 21">
              <a:extLst>
                <a:ext uri="{FF2B5EF4-FFF2-40B4-BE49-F238E27FC236}">
                  <a16:creationId xmlns:a16="http://schemas.microsoft.com/office/drawing/2014/main" id="{00000000-0008-0000-0500-000014000000}"/>
                </a:ext>
              </a:extLst>
            </xdr:cNvPr>
            <xdr:cNvSpPr txBox="1"/>
          </xdr:nvSpPr>
          <xdr:spPr>
            <a:xfrm>
              <a:off x="2461260" y="11068050"/>
              <a:ext cx="1458059" cy="27526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de-DE" sz="110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Pr>
                      <m:e>
                        <m:r>
                          <a:rPr lang="de-DE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𝑀</m:t>
                        </m:r>
                      </m:e>
                      <m:sub>
                        <m:r>
                          <a:rPr lang="de-DE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𝑖</m:t>
                        </m:r>
                      </m:sub>
                    </m:sSub>
                    <m:r>
                      <a:rPr lang="de-DE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=</m:t>
                    </m:r>
                    <m:sSub>
                      <m:sSubPr>
                        <m:ctrlPr>
                          <a:rPr lang="de-DE" sz="110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Pr>
                      <m:e>
                        <m:r>
                          <a:rPr lang="de-DE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𝑒</m:t>
                        </m:r>
                      </m:e>
                      <m:sub>
                        <m:r>
                          <a:rPr lang="de-DE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𝑖</m:t>
                        </m:r>
                      </m:sub>
                    </m:sSub>
                    <m:r>
                      <a:rPr lang="de-DE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∗</m:t>
                    </m:r>
                    <m:sSub>
                      <m:sSubPr>
                        <m:ctrlPr>
                          <a:rPr lang="de-DE" sz="110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Pr>
                      <m:e>
                        <m:r>
                          <a:rPr lang="de-DE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𝑁</m:t>
                        </m:r>
                      </m:e>
                      <m:sub>
                        <m:r>
                          <a:rPr lang="de-DE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𝑒𝑑</m:t>
                        </m:r>
                      </m:sub>
                    </m:sSub>
                    <m:r>
                      <a:rPr lang="de-DE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+</m:t>
                    </m:r>
                    <m:sSub>
                      <m:sSubPr>
                        <m:ctrlPr>
                          <a:rPr lang="de-DE" sz="110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Pr>
                      <m:e>
                        <m:r>
                          <a:rPr lang="de-DE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𝑀</m:t>
                        </m:r>
                      </m:e>
                      <m:sub>
                        <m:r>
                          <a:rPr lang="de-DE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𝑦𝑑</m:t>
                        </m:r>
                      </m:sub>
                    </m:sSub>
                  </m:oMath>
                </m:oMathPara>
              </a14:m>
              <a:endParaRPr lang="de-DE" sz="1100"/>
            </a:p>
          </xdr:txBody>
        </xdr:sp>
      </mc:Choice>
      <mc:Fallback xmlns="">
        <xdr:sp macro="" textlink="">
          <xdr:nvSpPr>
            <xdr:cNvPr id="20" name="Textfeld 21">
              <a:extLst>
                <a:ext uri="{FF2B5EF4-FFF2-40B4-BE49-F238E27FC236}">
                  <a16:creationId xmlns:a16="http://schemas.microsoft.com/office/drawing/2014/main" id="{7092F9B9-5CD8-4EF2-AEFC-8B01AD537B96}"/>
                </a:ext>
              </a:extLst>
            </xdr:cNvPr>
            <xdr:cNvSpPr txBox="1"/>
          </xdr:nvSpPr>
          <xdr:spPr>
            <a:xfrm>
              <a:off x="2461260" y="11068050"/>
              <a:ext cx="1458059" cy="27526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:pPr/>
              <a:r>
                <a:rPr lang="de-DE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𝑀_𝑖=𝑒_𝑖∗𝑁_𝑒𝑑+𝑀_𝑦𝑑</a:t>
              </a:r>
              <a:endParaRPr lang="de-DE" sz="1100"/>
            </a:p>
          </xdr:txBody>
        </xdr:sp>
      </mc:Fallback>
    </mc:AlternateContent>
    <xdr:clientData/>
  </xdr:oneCellAnchor>
  <xdr:oneCellAnchor>
    <xdr:from>
      <xdr:col>0</xdr:col>
      <xdr:colOff>0</xdr:colOff>
      <xdr:row>21</xdr:row>
      <xdr:rowOff>3314</xdr:rowOff>
    </xdr:from>
    <xdr:ext cx="403316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8" name="Textfeld 28">
              <a:extLst>
                <a:ext uri="{FF2B5EF4-FFF2-40B4-BE49-F238E27FC236}">
                  <a16:creationId xmlns:a16="http://schemas.microsoft.com/office/drawing/2014/main" id="{09CE3BE3-5295-44E2-8572-A11E28897BC1}"/>
                </a:ext>
              </a:extLst>
            </xdr:cNvPr>
            <xdr:cNvSpPr txBox="1"/>
          </xdr:nvSpPr>
          <xdr:spPr>
            <a:xfrm>
              <a:off x="0" y="5059018"/>
              <a:ext cx="403316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de-DE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de-DE" sz="1100" b="0" i="1">
                            <a:latin typeface="Cambria Math" panose="02040503050406030204" pitchFamily="18" charset="0"/>
                          </a:rPr>
                          <m:t>𝐸</m:t>
                        </m:r>
                      </m:e>
                      <m:sub>
                        <m:r>
                          <a:rPr lang="de-DE" sz="1100" b="0" i="1">
                            <a:latin typeface="Cambria Math" panose="02040503050406030204" pitchFamily="18" charset="0"/>
                          </a:rPr>
                          <m:t>𝑚𝑒𝑎𝑛</m:t>
                        </m:r>
                      </m:sub>
                    </m:sSub>
                  </m:oMath>
                </m:oMathPara>
              </a14:m>
              <a:endParaRPr lang="de-DE" sz="1100"/>
            </a:p>
          </xdr:txBody>
        </xdr:sp>
      </mc:Choice>
      <mc:Fallback xmlns="">
        <xdr:sp macro="" textlink="">
          <xdr:nvSpPr>
            <xdr:cNvPr id="28" name="Textfeld 28">
              <a:extLst>
                <a:ext uri="{FF2B5EF4-FFF2-40B4-BE49-F238E27FC236}">
                  <a16:creationId xmlns:a16="http://schemas.microsoft.com/office/drawing/2014/main" id="{09CE3BE3-5295-44E2-8572-A11E28897BC1}"/>
                </a:ext>
              </a:extLst>
            </xdr:cNvPr>
            <xdr:cNvSpPr txBox="1"/>
          </xdr:nvSpPr>
          <xdr:spPr>
            <a:xfrm>
              <a:off x="0" y="5059018"/>
              <a:ext cx="403316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de-DE" sz="1100" b="0" i="0">
                  <a:latin typeface="Cambria Math" panose="02040503050406030204" pitchFamily="18" charset="0"/>
                </a:rPr>
                <a:t>𝐸_𝑚𝑒𝑎𝑛</a:t>
              </a:r>
              <a:endParaRPr lang="de-DE" sz="1100"/>
            </a:p>
          </xdr:txBody>
        </xdr:sp>
      </mc:Fallback>
    </mc:AlternateContent>
    <xdr:clientData/>
  </xdr:oneCellAnchor>
  <xdr:oneCellAnchor>
    <xdr:from>
      <xdr:col>0</xdr:col>
      <xdr:colOff>0</xdr:colOff>
      <xdr:row>28</xdr:row>
      <xdr:rowOff>0</xdr:rowOff>
    </xdr:from>
    <xdr:ext cx="200632" cy="18293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9" name="Textfeld 28">
              <a:extLst>
                <a:ext uri="{FF2B5EF4-FFF2-40B4-BE49-F238E27FC236}">
                  <a16:creationId xmlns:a16="http://schemas.microsoft.com/office/drawing/2014/main" id="{18FA5742-3588-49F2-B5BB-627BE840A634}"/>
                </a:ext>
              </a:extLst>
            </xdr:cNvPr>
            <xdr:cNvSpPr txBox="1"/>
          </xdr:nvSpPr>
          <xdr:spPr>
            <a:xfrm>
              <a:off x="0" y="6695661"/>
              <a:ext cx="200632" cy="18293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de-DE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de-DE" sz="1100" b="0" i="1">
                            <a:latin typeface="Cambria Math" panose="02040503050406030204" pitchFamily="18" charset="0"/>
                          </a:rPr>
                          <m:t>𝑤</m:t>
                        </m:r>
                      </m:e>
                      <m:sub>
                        <m:r>
                          <a:rPr lang="de-DE" sz="1100" b="0" i="1">
                            <a:latin typeface="Cambria Math" panose="02040503050406030204" pitchFamily="18" charset="0"/>
                          </a:rPr>
                          <m:t>𝑦</m:t>
                        </m:r>
                      </m:sub>
                    </m:sSub>
                  </m:oMath>
                </m:oMathPara>
              </a14:m>
              <a:endParaRPr lang="de-DE" sz="1100"/>
            </a:p>
          </xdr:txBody>
        </xdr:sp>
      </mc:Choice>
      <mc:Fallback xmlns="">
        <xdr:sp macro="" textlink="">
          <xdr:nvSpPr>
            <xdr:cNvPr id="29" name="Textfeld 28">
              <a:extLst>
                <a:ext uri="{FF2B5EF4-FFF2-40B4-BE49-F238E27FC236}">
                  <a16:creationId xmlns:a16="http://schemas.microsoft.com/office/drawing/2014/main" id="{18FA5742-3588-49F2-B5BB-627BE840A634}"/>
                </a:ext>
              </a:extLst>
            </xdr:cNvPr>
            <xdr:cNvSpPr txBox="1"/>
          </xdr:nvSpPr>
          <xdr:spPr>
            <a:xfrm>
              <a:off x="0" y="6695661"/>
              <a:ext cx="200632" cy="18293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de-DE" sz="1100" b="0" i="0">
                  <a:latin typeface="Cambria Math" panose="02040503050406030204" pitchFamily="18" charset="0"/>
                </a:rPr>
                <a:t>𝑤_𝑦</a:t>
              </a:r>
              <a:endParaRPr lang="de-DE" sz="1100"/>
            </a:p>
          </xdr:txBody>
        </xdr:sp>
      </mc:Fallback>
    </mc:AlternateContent>
    <xdr:clientData/>
  </xdr:oneCellAnchor>
  <xdr:oneCellAnchor>
    <xdr:from>
      <xdr:col>0</xdr:col>
      <xdr:colOff>0</xdr:colOff>
      <xdr:row>29</xdr:row>
      <xdr:rowOff>0</xdr:rowOff>
    </xdr:from>
    <xdr:ext cx="150105" cy="18293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0" name="Textfeld 28">
              <a:extLst>
                <a:ext uri="{FF2B5EF4-FFF2-40B4-BE49-F238E27FC236}">
                  <a16:creationId xmlns:a16="http://schemas.microsoft.com/office/drawing/2014/main" id="{DC888619-5271-472A-BE3F-2936D3DD19B5}"/>
                </a:ext>
              </a:extLst>
            </xdr:cNvPr>
            <xdr:cNvSpPr txBox="1"/>
          </xdr:nvSpPr>
          <xdr:spPr>
            <a:xfrm>
              <a:off x="0" y="6877878"/>
              <a:ext cx="150105" cy="18293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de-DE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de-DE" sz="1100" b="0" i="1">
                            <a:latin typeface="Cambria Math" panose="02040503050406030204" pitchFamily="18" charset="0"/>
                          </a:rPr>
                          <m:t>𝑖</m:t>
                        </m:r>
                      </m:e>
                      <m:sub>
                        <m:r>
                          <a:rPr lang="de-DE" sz="1100" b="0" i="1">
                            <a:latin typeface="Cambria Math" panose="02040503050406030204" pitchFamily="18" charset="0"/>
                          </a:rPr>
                          <m:t>𝑦</m:t>
                        </m:r>
                      </m:sub>
                    </m:sSub>
                  </m:oMath>
                </m:oMathPara>
              </a14:m>
              <a:endParaRPr lang="de-DE" sz="1100"/>
            </a:p>
          </xdr:txBody>
        </xdr:sp>
      </mc:Choice>
      <mc:Fallback xmlns="">
        <xdr:sp macro="" textlink="">
          <xdr:nvSpPr>
            <xdr:cNvPr id="30" name="Textfeld 28">
              <a:extLst>
                <a:ext uri="{FF2B5EF4-FFF2-40B4-BE49-F238E27FC236}">
                  <a16:creationId xmlns:a16="http://schemas.microsoft.com/office/drawing/2014/main" id="{DC888619-5271-472A-BE3F-2936D3DD19B5}"/>
                </a:ext>
              </a:extLst>
            </xdr:cNvPr>
            <xdr:cNvSpPr txBox="1"/>
          </xdr:nvSpPr>
          <xdr:spPr>
            <a:xfrm>
              <a:off x="0" y="6877878"/>
              <a:ext cx="150105" cy="18293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de-DE" sz="1100" b="0" i="0">
                  <a:latin typeface="Cambria Math" panose="02040503050406030204" pitchFamily="18" charset="0"/>
                </a:rPr>
                <a:t>𝑖_𝑦</a:t>
              </a:r>
              <a:endParaRPr lang="de-DE" sz="1100"/>
            </a:p>
          </xdr:txBody>
        </xdr:sp>
      </mc:Fallback>
    </mc:AlternateContent>
    <xdr:clientData/>
  </xdr:oneCellAnchor>
  <xdr:oneCellAnchor>
    <xdr:from>
      <xdr:col>0</xdr:col>
      <xdr:colOff>0</xdr:colOff>
      <xdr:row>30</xdr:row>
      <xdr:rowOff>0</xdr:rowOff>
    </xdr:from>
    <xdr:ext cx="150618" cy="18293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1" name="Textfeld 28">
              <a:extLst>
                <a:ext uri="{FF2B5EF4-FFF2-40B4-BE49-F238E27FC236}">
                  <a16:creationId xmlns:a16="http://schemas.microsoft.com/office/drawing/2014/main" id="{F332E050-139D-452E-9337-A7E914A50A31}"/>
                </a:ext>
              </a:extLst>
            </xdr:cNvPr>
            <xdr:cNvSpPr txBox="1"/>
          </xdr:nvSpPr>
          <xdr:spPr>
            <a:xfrm>
              <a:off x="0" y="7060096"/>
              <a:ext cx="150618" cy="18293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de-DE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de-DE" sz="1100" b="0" i="1">
                            <a:latin typeface="Cambria Math" panose="02040503050406030204" pitchFamily="18" charset="0"/>
                          </a:rPr>
                          <m:t>𝐼</m:t>
                        </m:r>
                      </m:e>
                      <m:sub>
                        <m:r>
                          <a:rPr lang="de-DE" sz="1100" b="0" i="1">
                            <a:latin typeface="Cambria Math" panose="02040503050406030204" pitchFamily="18" charset="0"/>
                          </a:rPr>
                          <m:t>𝑦</m:t>
                        </m:r>
                      </m:sub>
                    </m:sSub>
                  </m:oMath>
                </m:oMathPara>
              </a14:m>
              <a:endParaRPr lang="de-DE" sz="1100"/>
            </a:p>
          </xdr:txBody>
        </xdr:sp>
      </mc:Choice>
      <mc:Fallback xmlns="">
        <xdr:sp macro="" textlink="">
          <xdr:nvSpPr>
            <xdr:cNvPr id="31" name="Textfeld 28">
              <a:extLst>
                <a:ext uri="{FF2B5EF4-FFF2-40B4-BE49-F238E27FC236}">
                  <a16:creationId xmlns:a16="http://schemas.microsoft.com/office/drawing/2014/main" id="{F332E050-139D-452E-9337-A7E914A50A31}"/>
                </a:ext>
              </a:extLst>
            </xdr:cNvPr>
            <xdr:cNvSpPr txBox="1"/>
          </xdr:nvSpPr>
          <xdr:spPr>
            <a:xfrm>
              <a:off x="0" y="7060096"/>
              <a:ext cx="150618" cy="18293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de-DE" sz="1100" b="0" i="0">
                  <a:latin typeface="Cambria Math" panose="02040503050406030204" pitchFamily="18" charset="0"/>
                </a:rPr>
                <a:t>𝐼_𝑦</a:t>
              </a:r>
              <a:endParaRPr lang="de-DE" sz="1100"/>
            </a:p>
          </xdr:txBody>
        </xdr:sp>
      </mc:Fallback>
    </mc:AlternateContent>
    <xdr:clientData/>
  </xdr:oneCellAnchor>
  <xdr:oneCellAnchor>
    <xdr:from>
      <xdr:col>16</xdr:col>
      <xdr:colOff>0</xdr:colOff>
      <xdr:row>28</xdr:row>
      <xdr:rowOff>0</xdr:rowOff>
    </xdr:from>
    <xdr:ext cx="189667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2" name="Textfeld 28">
              <a:extLst>
                <a:ext uri="{FF2B5EF4-FFF2-40B4-BE49-F238E27FC236}">
                  <a16:creationId xmlns:a16="http://schemas.microsoft.com/office/drawing/2014/main" id="{4C220ED7-B1DB-45B0-B094-4AD3CDE2BC58}"/>
                </a:ext>
              </a:extLst>
            </xdr:cNvPr>
            <xdr:cNvSpPr txBox="1"/>
          </xdr:nvSpPr>
          <xdr:spPr>
            <a:xfrm>
              <a:off x="2332383" y="6695661"/>
              <a:ext cx="189667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de-DE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de-DE" sz="1100" b="0" i="1">
                            <a:latin typeface="Cambria Math" panose="02040503050406030204" pitchFamily="18" charset="0"/>
                          </a:rPr>
                          <m:t>𝑤</m:t>
                        </m:r>
                      </m:e>
                      <m:sub>
                        <m:r>
                          <a:rPr lang="de-DE" sz="1100" b="0" i="1">
                            <a:latin typeface="Cambria Math" panose="02040503050406030204" pitchFamily="18" charset="0"/>
                          </a:rPr>
                          <m:t>𝑧</m:t>
                        </m:r>
                      </m:sub>
                    </m:sSub>
                  </m:oMath>
                </m:oMathPara>
              </a14:m>
              <a:endParaRPr lang="de-DE" sz="1100"/>
            </a:p>
          </xdr:txBody>
        </xdr:sp>
      </mc:Choice>
      <mc:Fallback xmlns="">
        <xdr:sp macro="" textlink="">
          <xdr:nvSpPr>
            <xdr:cNvPr id="32" name="Textfeld 28">
              <a:extLst>
                <a:ext uri="{FF2B5EF4-FFF2-40B4-BE49-F238E27FC236}">
                  <a16:creationId xmlns:a16="http://schemas.microsoft.com/office/drawing/2014/main" id="{4C220ED7-B1DB-45B0-B094-4AD3CDE2BC58}"/>
                </a:ext>
              </a:extLst>
            </xdr:cNvPr>
            <xdr:cNvSpPr txBox="1"/>
          </xdr:nvSpPr>
          <xdr:spPr>
            <a:xfrm>
              <a:off x="2332383" y="6695661"/>
              <a:ext cx="189667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de-DE" sz="1100" b="0" i="0">
                  <a:latin typeface="Cambria Math" panose="02040503050406030204" pitchFamily="18" charset="0"/>
                </a:rPr>
                <a:t>𝑤_𝑧</a:t>
              </a:r>
              <a:endParaRPr lang="de-DE" sz="1100"/>
            </a:p>
          </xdr:txBody>
        </xdr:sp>
      </mc:Fallback>
    </mc:AlternateContent>
    <xdr:clientData/>
  </xdr:oneCellAnchor>
  <xdr:oneCellAnchor>
    <xdr:from>
      <xdr:col>16</xdr:col>
      <xdr:colOff>0</xdr:colOff>
      <xdr:row>29</xdr:row>
      <xdr:rowOff>0</xdr:rowOff>
    </xdr:from>
    <xdr:ext cx="139141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3" name="Textfeld 28">
              <a:extLst>
                <a:ext uri="{FF2B5EF4-FFF2-40B4-BE49-F238E27FC236}">
                  <a16:creationId xmlns:a16="http://schemas.microsoft.com/office/drawing/2014/main" id="{06330E61-1DE4-494F-8C76-54010E92CFE2}"/>
                </a:ext>
              </a:extLst>
            </xdr:cNvPr>
            <xdr:cNvSpPr txBox="1"/>
          </xdr:nvSpPr>
          <xdr:spPr>
            <a:xfrm>
              <a:off x="2332383" y="6904383"/>
              <a:ext cx="139141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de-DE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de-DE" sz="1100" b="0" i="1">
                            <a:latin typeface="Cambria Math" panose="02040503050406030204" pitchFamily="18" charset="0"/>
                          </a:rPr>
                          <m:t>𝑖</m:t>
                        </m:r>
                      </m:e>
                      <m:sub>
                        <m:r>
                          <a:rPr lang="de-DE" sz="1100" b="0" i="1">
                            <a:latin typeface="Cambria Math" panose="02040503050406030204" pitchFamily="18" charset="0"/>
                          </a:rPr>
                          <m:t>𝑧</m:t>
                        </m:r>
                      </m:sub>
                    </m:sSub>
                  </m:oMath>
                </m:oMathPara>
              </a14:m>
              <a:endParaRPr lang="de-DE" sz="1100"/>
            </a:p>
          </xdr:txBody>
        </xdr:sp>
      </mc:Choice>
      <mc:Fallback xmlns="">
        <xdr:sp macro="" textlink="">
          <xdr:nvSpPr>
            <xdr:cNvPr id="33" name="Textfeld 28">
              <a:extLst>
                <a:ext uri="{FF2B5EF4-FFF2-40B4-BE49-F238E27FC236}">
                  <a16:creationId xmlns:a16="http://schemas.microsoft.com/office/drawing/2014/main" id="{06330E61-1DE4-494F-8C76-54010E92CFE2}"/>
                </a:ext>
              </a:extLst>
            </xdr:cNvPr>
            <xdr:cNvSpPr txBox="1"/>
          </xdr:nvSpPr>
          <xdr:spPr>
            <a:xfrm>
              <a:off x="2332383" y="6904383"/>
              <a:ext cx="139141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de-DE" sz="1100" b="0" i="0">
                  <a:latin typeface="Cambria Math" panose="02040503050406030204" pitchFamily="18" charset="0"/>
                </a:rPr>
                <a:t>𝑖_𝑧</a:t>
              </a:r>
              <a:endParaRPr lang="de-DE" sz="1100"/>
            </a:p>
          </xdr:txBody>
        </xdr:sp>
      </mc:Fallback>
    </mc:AlternateContent>
    <xdr:clientData/>
  </xdr:oneCellAnchor>
  <xdr:oneCellAnchor>
    <xdr:from>
      <xdr:col>16</xdr:col>
      <xdr:colOff>0</xdr:colOff>
      <xdr:row>30</xdr:row>
      <xdr:rowOff>0</xdr:rowOff>
    </xdr:from>
    <xdr:ext cx="139654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4" name="Textfeld 28">
              <a:extLst>
                <a:ext uri="{FF2B5EF4-FFF2-40B4-BE49-F238E27FC236}">
                  <a16:creationId xmlns:a16="http://schemas.microsoft.com/office/drawing/2014/main" id="{12D4F57E-D36F-4BDB-84F2-F0FB39834B0D}"/>
                </a:ext>
              </a:extLst>
            </xdr:cNvPr>
            <xdr:cNvSpPr txBox="1"/>
          </xdr:nvSpPr>
          <xdr:spPr>
            <a:xfrm>
              <a:off x="2332383" y="7086600"/>
              <a:ext cx="139654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de-DE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de-DE" sz="1100" b="0" i="1">
                            <a:latin typeface="Cambria Math" panose="02040503050406030204" pitchFamily="18" charset="0"/>
                          </a:rPr>
                          <m:t>𝐼</m:t>
                        </m:r>
                      </m:e>
                      <m:sub>
                        <m:r>
                          <a:rPr lang="de-DE" sz="1100" b="0" i="1">
                            <a:latin typeface="Cambria Math" panose="02040503050406030204" pitchFamily="18" charset="0"/>
                          </a:rPr>
                          <m:t>𝑧</m:t>
                        </m:r>
                      </m:sub>
                    </m:sSub>
                  </m:oMath>
                </m:oMathPara>
              </a14:m>
              <a:endParaRPr lang="de-DE" sz="1100"/>
            </a:p>
          </xdr:txBody>
        </xdr:sp>
      </mc:Choice>
      <mc:Fallback xmlns="">
        <xdr:sp macro="" textlink="">
          <xdr:nvSpPr>
            <xdr:cNvPr id="34" name="Textfeld 28">
              <a:extLst>
                <a:ext uri="{FF2B5EF4-FFF2-40B4-BE49-F238E27FC236}">
                  <a16:creationId xmlns:a16="http://schemas.microsoft.com/office/drawing/2014/main" id="{12D4F57E-D36F-4BDB-84F2-F0FB39834B0D}"/>
                </a:ext>
              </a:extLst>
            </xdr:cNvPr>
            <xdr:cNvSpPr txBox="1"/>
          </xdr:nvSpPr>
          <xdr:spPr>
            <a:xfrm>
              <a:off x="2332383" y="7086600"/>
              <a:ext cx="139654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de-DE" sz="1100" b="0" i="0">
                  <a:latin typeface="Cambria Math" panose="02040503050406030204" pitchFamily="18" charset="0"/>
                </a:rPr>
                <a:t>𝐼_𝑧</a:t>
              </a:r>
              <a:endParaRPr lang="de-DE" sz="1100"/>
            </a:p>
          </xdr:txBody>
        </xdr:sp>
      </mc:Fallback>
    </mc:AlternateContent>
    <xdr:clientData/>
  </xdr:oneCellAnchor>
  <xdr:oneCellAnchor>
    <xdr:from>
      <xdr:col>0</xdr:col>
      <xdr:colOff>4762</xdr:colOff>
      <xdr:row>33</xdr:row>
      <xdr:rowOff>0</xdr:rowOff>
    </xdr:from>
    <xdr:ext cx="319318" cy="17697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5" name="Textfeld 28">
              <a:extLst>
                <a:ext uri="{FF2B5EF4-FFF2-40B4-BE49-F238E27FC236}">
                  <a16:creationId xmlns:a16="http://schemas.microsoft.com/office/drawing/2014/main" id="{3B133939-8774-4EA0-AFFD-EFF23D047F30}"/>
                </a:ext>
              </a:extLst>
            </xdr:cNvPr>
            <xdr:cNvSpPr txBox="1"/>
          </xdr:nvSpPr>
          <xdr:spPr>
            <a:xfrm>
              <a:off x="4762" y="7451035"/>
              <a:ext cx="319318" cy="17697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de-DE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de-DE" sz="1100" b="0" i="1">
                            <a:latin typeface="Cambria Math" panose="02040503050406030204" pitchFamily="18" charset="0"/>
                          </a:rPr>
                          <m:t>𝑓</m:t>
                        </m:r>
                      </m:e>
                      <m:sub>
                        <m:r>
                          <a:rPr lang="de-DE" sz="1100" b="0" i="1">
                            <a:latin typeface="Cambria Math" panose="02040503050406030204" pitchFamily="18" charset="0"/>
                          </a:rPr>
                          <m:t>𝑐</m:t>
                        </m:r>
                        <m:r>
                          <a:rPr lang="de-DE" sz="1100" b="0" i="1">
                            <a:latin typeface="Cambria Math" panose="02040503050406030204" pitchFamily="18" charset="0"/>
                          </a:rPr>
                          <m:t>,0,</m:t>
                        </m:r>
                        <m:r>
                          <a:rPr lang="de-DE" sz="1100" b="0" i="1">
                            <a:latin typeface="Cambria Math" panose="02040503050406030204" pitchFamily="18" charset="0"/>
                          </a:rPr>
                          <m:t>𝑑</m:t>
                        </m:r>
                      </m:sub>
                    </m:sSub>
                  </m:oMath>
                </m:oMathPara>
              </a14:m>
              <a:endParaRPr lang="de-DE" sz="1100"/>
            </a:p>
          </xdr:txBody>
        </xdr:sp>
      </mc:Choice>
      <mc:Fallback xmlns="">
        <xdr:sp macro="" textlink="">
          <xdr:nvSpPr>
            <xdr:cNvPr id="35" name="Textfeld 28">
              <a:extLst>
                <a:ext uri="{FF2B5EF4-FFF2-40B4-BE49-F238E27FC236}">
                  <a16:creationId xmlns:a16="http://schemas.microsoft.com/office/drawing/2014/main" id="{3B133939-8774-4EA0-AFFD-EFF23D047F30}"/>
                </a:ext>
              </a:extLst>
            </xdr:cNvPr>
            <xdr:cNvSpPr txBox="1"/>
          </xdr:nvSpPr>
          <xdr:spPr>
            <a:xfrm>
              <a:off x="4762" y="7451035"/>
              <a:ext cx="319318" cy="17697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de-DE" sz="1100" b="0" i="0">
                  <a:latin typeface="Cambria Math" panose="02040503050406030204" pitchFamily="18" charset="0"/>
                </a:rPr>
                <a:t>𝑓_(𝑐,0,𝑑)</a:t>
              </a:r>
              <a:endParaRPr lang="de-DE" sz="1100"/>
            </a:p>
          </xdr:txBody>
        </xdr:sp>
      </mc:Fallback>
    </mc:AlternateContent>
    <xdr:clientData/>
  </xdr:oneCellAnchor>
  <xdr:oneCellAnchor>
    <xdr:from>
      <xdr:col>16</xdr:col>
      <xdr:colOff>23191</xdr:colOff>
      <xdr:row>32</xdr:row>
      <xdr:rowOff>162340</xdr:rowOff>
    </xdr:from>
    <xdr:ext cx="370230" cy="18293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8" name="Textfeld 28">
              <a:extLst>
                <a:ext uri="{FF2B5EF4-FFF2-40B4-BE49-F238E27FC236}">
                  <a16:creationId xmlns:a16="http://schemas.microsoft.com/office/drawing/2014/main" id="{CDA53C4A-6957-41B3-AD4A-6DF6F44A3495}"/>
                </a:ext>
              </a:extLst>
            </xdr:cNvPr>
            <xdr:cNvSpPr txBox="1"/>
          </xdr:nvSpPr>
          <xdr:spPr>
            <a:xfrm>
              <a:off x="2355574" y="7248940"/>
              <a:ext cx="370230" cy="18293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de-DE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de-DE" sz="1100" b="0" i="1">
                            <a:latin typeface="Cambria Math" panose="02040503050406030204" pitchFamily="18" charset="0"/>
                          </a:rPr>
                          <m:t>𝑓</m:t>
                        </m:r>
                      </m:e>
                      <m:sub>
                        <m:r>
                          <a:rPr lang="de-DE" sz="1100" b="0" i="1">
                            <a:latin typeface="Cambria Math" panose="02040503050406030204" pitchFamily="18" charset="0"/>
                          </a:rPr>
                          <m:t>𝑚</m:t>
                        </m:r>
                        <m:r>
                          <a:rPr lang="de-DE" sz="1100" b="0" i="1">
                            <a:latin typeface="Cambria Math" panose="02040503050406030204" pitchFamily="18" charset="0"/>
                          </a:rPr>
                          <m:t>,</m:t>
                        </m:r>
                        <m:r>
                          <a:rPr lang="de-DE" sz="1100" b="0" i="1">
                            <a:latin typeface="Cambria Math" panose="02040503050406030204" pitchFamily="18" charset="0"/>
                          </a:rPr>
                          <m:t>𝑦</m:t>
                        </m:r>
                        <m:r>
                          <a:rPr lang="de-DE" sz="1100" b="0" i="1">
                            <a:latin typeface="Cambria Math" panose="02040503050406030204" pitchFamily="18" charset="0"/>
                          </a:rPr>
                          <m:t>,</m:t>
                        </m:r>
                        <m:r>
                          <a:rPr lang="de-DE" sz="1100" b="0" i="1">
                            <a:latin typeface="Cambria Math" panose="02040503050406030204" pitchFamily="18" charset="0"/>
                          </a:rPr>
                          <m:t>𝑑</m:t>
                        </m:r>
                      </m:sub>
                    </m:sSub>
                  </m:oMath>
                </m:oMathPara>
              </a14:m>
              <a:endParaRPr lang="de-DE" sz="1100"/>
            </a:p>
          </xdr:txBody>
        </xdr:sp>
      </mc:Choice>
      <mc:Fallback xmlns="">
        <xdr:sp macro="" textlink="">
          <xdr:nvSpPr>
            <xdr:cNvPr id="38" name="Textfeld 28">
              <a:extLst>
                <a:ext uri="{FF2B5EF4-FFF2-40B4-BE49-F238E27FC236}">
                  <a16:creationId xmlns:a16="http://schemas.microsoft.com/office/drawing/2014/main" id="{CDA53C4A-6957-41B3-AD4A-6DF6F44A3495}"/>
                </a:ext>
              </a:extLst>
            </xdr:cNvPr>
            <xdr:cNvSpPr txBox="1"/>
          </xdr:nvSpPr>
          <xdr:spPr>
            <a:xfrm>
              <a:off x="2355574" y="7248940"/>
              <a:ext cx="370230" cy="18293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de-DE" sz="1100" b="0" i="0">
                  <a:latin typeface="Cambria Math" panose="02040503050406030204" pitchFamily="18" charset="0"/>
                </a:rPr>
                <a:t>𝑓_(𝑚,𝑦,𝑑)</a:t>
              </a:r>
              <a:endParaRPr lang="de-DE" sz="1100"/>
            </a:p>
          </xdr:txBody>
        </xdr:sp>
      </mc:Fallback>
    </mc:AlternateContent>
    <xdr:clientData/>
  </xdr:oneCellAnchor>
  <xdr:oneCellAnchor>
    <xdr:from>
      <xdr:col>0</xdr:col>
      <xdr:colOff>0</xdr:colOff>
      <xdr:row>34</xdr:row>
      <xdr:rowOff>0</xdr:rowOff>
    </xdr:from>
    <xdr:ext cx="470642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9" name="Textfeld 28">
              <a:extLst>
                <a:ext uri="{FF2B5EF4-FFF2-40B4-BE49-F238E27FC236}">
                  <a16:creationId xmlns:a16="http://schemas.microsoft.com/office/drawing/2014/main" id="{75054C2C-BF8E-409B-BB48-1DA2C8D7118E}"/>
                </a:ext>
              </a:extLst>
            </xdr:cNvPr>
            <xdr:cNvSpPr txBox="1"/>
          </xdr:nvSpPr>
          <xdr:spPr>
            <a:xfrm>
              <a:off x="0" y="7451035"/>
              <a:ext cx="470642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de-DE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de-DE" sz="1100" b="0" i="1">
                            <a:latin typeface="Cambria Math" panose="02040503050406030204" pitchFamily="18" charset="0"/>
                          </a:rPr>
                          <m:t>𝐸</m:t>
                        </m:r>
                      </m:e>
                      <m:sub>
                        <m:r>
                          <a:rPr lang="de-DE" sz="1100" b="0" i="1">
                            <a:latin typeface="Cambria Math" panose="02040503050406030204" pitchFamily="18" charset="0"/>
                          </a:rPr>
                          <m:t>𝑚𝑒𝑎𝑛𝑑</m:t>
                        </m:r>
                      </m:sub>
                    </m:sSub>
                  </m:oMath>
                </m:oMathPara>
              </a14:m>
              <a:endParaRPr lang="de-DE" sz="1100"/>
            </a:p>
          </xdr:txBody>
        </xdr:sp>
      </mc:Choice>
      <mc:Fallback xmlns="">
        <xdr:sp macro="" textlink="">
          <xdr:nvSpPr>
            <xdr:cNvPr id="39" name="Textfeld 28">
              <a:extLst>
                <a:ext uri="{FF2B5EF4-FFF2-40B4-BE49-F238E27FC236}">
                  <a16:creationId xmlns:a16="http://schemas.microsoft.com/office/drawing/2014/main" id="{75054C2C-BF8E-409B-BB48-1DA2C8D7118E}"/>
                </a:ext>
              </a:extLst>
            </xdr:cNvPr>
            <xdr:cNvSpPr txBox="1"/>
          </xdr:nvSpPr>
          <xdr:spPr>
            <a:xfrm>
              <a:off x="0" y="7451035"/>
              <a:ext cx="470642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de-DE" sz="1100" b="0" i="0">
                  <a:latin typeface="Cambria Math" panose="02040503050406030204" pitchFamily="18" charset="0"/>
                </a:rPr>
                <a:t>𝐸_𝑚𝑒𝑎𝑛𝑑</a:t>
              </a:r>
              <a:endParaRPr lang="de-DE" sz="1100"/>
            </a:p>
          </xdr:txBody>
        </xdr:sp>
      </mc:Fallback>
    </mc:AlternateContent>
    <xdr:clientData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17116</xdr:colOff>
      <xdr:row>21</xdr:row>
      <xdr:rowOff>166255</xdr:rowOff>
    </xdr:from>
    <xdr:to>
      <xdr:col>23</xdr:col>
      <xdr:colOff>115389</xdr:colOff>
      <xdr:row>24</xdr:row>
      <xdr:rowOff>11907</xdr:rowOff>
    </xdr:to>
    <xdr:grpSp>
      <xdr:nvGrpSpPr>
        <xdr:cNvPr id="2" name="Gruppieren 22553">
          <a:extLst>
            <a:ext uri="{FF2B5EF4-FFF2-40B4-BE49-F238E27FC236}">
              <a16:creationId xmlns:a16="http://schemas.microsoft.com/office/drawing/2014/main" id="{91EF1B49-F32B-479D-BBAD-4F6040CE01AC}"/>
            </a:ext>
          </a:extLst>
        </xdr:cNvPr>
        <xdr:cNvGrpSpPr/>
      </xdr:nvGrpSpPr>
      <xdr:grpSpPr>
        <a:xfrm>
          <a:off x="2662345" y="5075712"/>
          <a:ext cx="833058" cy="400824"/>
          <a:chOff x="1486828" y="14292146"/>
          <a:chExt cx="2467209" cy="171916"/>
        </a:xfrm>
      </xdr:grpSpPr>
      <xdr:grpSp>
        <xdr:nvGrpSpPr>
          <xdr:cNvPr id="3" name="Gruppieren 55">
            <a:extLst>
              <a:ext uri="{FF2B5EF4-FFF2-40B4-BE49-F238E27FC236}">
                <a16:creationId xmlns:a16="http://schemas.microsoft.com/office/drawing/2014/main" id="{0A688AFB-92C1-FCF7-27B3-D3431FA52DBD}"/>
              </a:ext>
            </a:extLst>
          </xdr:cNvPr>
          <xdr:cNvGrpSpPr/>
        </xdr:nvGrpSpPr>
        <xdr:grpSpPr>
          <a:xfrm>
            <a:off x="1486828" y="14357195"/>
            <a:ext cx="69695" cy="97574"/>
            <a:chOff x="1421780" y="14478000"/>
            <a:chExt cx="111513" cy="199793"/>
          </a:xfrm>
        </xdr:grpSpPr>
        <xdr:cxnSp macro="">
          <xdr:nvCxnSpPr>
            <xdr:cNvPr id="7" name="Gerader Verbinder 13">
              <a:extLst>
                <a:ext uri="{FF2B5EF4-FFF2-40B4-BE49-F238E27FC236}">
                  <a16:creationId xmlns:a16="http://schemas.microsoft.com/office/drawing/2014/main" id="{FA762252-AA47-FB0D-BF16-827E172F30D6}"/>
                </a:ext>
              </a:extLst>
            </xdr:cNvPr>
            <xdr:cNvCxnSpPr/>
          </xdr:nvCxnSpPr>
          <xdr:spPr>
            <a:xfrm>
              <a:off x="1421780" y="14478000"/>
              <a:ext cx="74342" cy="0"/>
            </a:xfrm>
            <a:prstGeom prst="line">
              <a:avLst/>
            </a:prstGeom>
            <a:ln w="6350">
              <a:solidFill>
                <a:sysClr val="windowText" lastClr="000000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8" name="Gerader Verbinder 41">
              <a:extLst>
                <a:ext uri="{FF2B5EF4-FFF2-40B4-BE49-F238E27FC236}">
                  <a16:creationId xmlns:a16="http://schemas.microsoft.com/office/drawing/2014/main" id="{77265DEA-E7F5-9C38-8D59-1C7417E04A4F}"/>
                </a:ext>
              </a:extLst>
            </xdr:cNvPr>
            <xdr:cNvCxnSpPr/>
          </xdr:nvCxnSpPr>
          <xdr:spPr>
            <a:xfrm>
              <a:off x="1500768" y="14478000"/>
              <a:ext cx="32525" cy="199793"/>
            </a:xfrm>
            <a:prstGeom prst="line">
              <a:avLst/>
            </a:prstGeom>
            <a:ln>
              <a:solidFill>
                <a:sysClr val="windowText" lastClr="000000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cxnSp macro="">
        <xdr:nvCxnSpPr>
          <xdr:cNvPr id="4" name="Gerader Verbinder 61">
            <a:extLst>
              <a:ext uri="{FF2B5EF4-FFF2-40B4-BE49-F238E27FC236}">
                <a16:creationId xmlns:a16="http://schemas.microsoft.com/office/drawing/2014/main" id="{471DD27A-792C-4EBB-9D32-2EE7BDD32699}"/>
              </a:ext>
            </a:extLst>
          </xdr:cNvPr>
          <xdr:cNvCxnSpPr/>
        </xdr:nvCxnSpPr>
        <xdr:spPr>
          <a:xfrm flipV="1">
            <a:off x="1561171" y="14292146"/>
            <a:ext cx="37170" cy="171916"/>
          </a:xfrm>
          <a:prstGeom prst="line">
            <a:avLst/>
          </a:prstGeom>
          <a:ln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" name="Gerader Verbinder 22544">
            <a:extLst>
              <a:ext uri="{FF2B5EF4-FFF2-40B4-BE49-F238E27FC236}">
                <a16:creationId xmlns:a16="http://schemas.microsoft.com/office/drawing/2014/main" id="{469BE1E8-1145-671C-21D9-61BB595FDD38}"/>
              </a:ext>
            </a:extLst>
          </xdr:cNvPr>
          <xdr:cNvCxnSpPr/>
        </xdr:nvCxnSpPr>
        <xdr:spPr>
          <a:xfrm>
            <a:off x="1593695" y="14296793"/>
            <a:ext cx="2360342" cy="4646"/>
          </a:xfrm>
          <a:prstGeom prst="line">
            <a:avLst/>
          </a:prstGeom>
          <a:ln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6" name="Gerader Verbinder 22550">
            <a:extLst>
              <a:ext uri="{FF2B5EF4-FFF2-40B4-BE49-F238E27FC236}">
                <a16:creationId xmlns:a16="http://schemas.microsoft.com/office/drawing/2014/main" id="{93B81F86-B2A9-23DF-692A-EE364AD4709A}"/>
              </a:ext>
            </a:extLst>
          </xdr:cNvPr>
          <xdr:cNvCxnSpPr/>
        </xdr:nvCxnSpPr>
        <xdr:spPr>
          <a:xfrm>
            <a:off x="3944744" y="14301439"/>
            <a:ext cx="0" cy="55756"/>
          </a:xfrm>
          <a:prstGeom prst="line">
            <a:avLst/>
          </a:prstGeom>
          <a:ln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oneCellAnchor>
    <xdr:from>
      <xdr:col>0</xdr:col>
      <xdr:colOff>31203</xdr:colOff>
      <xdr:row>26</xdr:row>
      <xdr:rowOff>164060</xdr:rowOff>
    </xdr:from>
    <xdr:ext cx="186333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9" name="Textfeld 28">
              <a:extLst>
                <a:ext uri="{FF2B5EF4-FFF2-40B4-BE49-F238E27FC236}">
                  <a16:creationId xmlns:a16="http://schemas.microsoft.com/office/drawing/2014/main" id="{2098D164-80A6-4621-B078-19161F91716B}"/>
                </a:ext>
              </a:extLst>
            </xdr:cNvPr>
            <xdr:cNvSpPr txBox="1"/>
          </xdr:nvSpPr>
          <xdr:spPr>
            <a:xfrm>
              <a:off x="31203" y="5959070"/>
              <a:ext cx="186333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de-DE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Pr>
                      <m:e>
                        <m:r>
                          <a:rPr lang="de-DE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𝛾</m:t>
                        </m:r>
                      </m:e>
                      <m:sub>
                        <m:r>
                          <a:rPr lang="de-DE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𝑚</m:t>
                        </m:r>
                      </m:sub>
                    </m:sSub>
                  </m:oMath>
                </m:oMathPara>
              </a14:m>
              <a:endParaRPr lang="de-DE" sz="1100"/>
            </a:p>
          </xdr:txBody>
        </xdr:sp>
      </mc:Choice>
      <mc:Fallback xmlns="">
        <xdr:sp macro="" textlink="">
          <xdr:nvSpPr>
            <xdr:cNvPr id="9" name="Textfeld 28">
              <a:extLst>
                <a:ext uri="{FF2B5EF4-FFF2-40B4-BE49-F238E27FC236}">
                  <a16:creationId xmlns:a16="http://schemas.microsoft.com/office/drawing/2014/main" id="{2098D164-80A6-4621-B078-19161F91716B}"/>
                </a:ext>
              </a:extLst>
            </xdr:cNvPr>
            <xdr:cNvSpPr txBox="1"/>
          </xdr:nvSpPr>
          <xdr:spPr>
            <a:xfrm>
              <a:off x="31203" y="5959070"/>
              <a:ext cx="186333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de-DE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𝛾_𝑚</a:t>
              </a:r>
              <a:endParaRPr lang="de-DE" sz="1100"/>
            </a:p>
          </xdr:txBody>
        </xdr:sp>
      </mc:Fallback>
    </mc:AlternateContent>
    <xdr:clientData/>
  </xdr:oneCellAnchor>
  <xdr:oneCellAnchor>
    <xdr:from>
      <xdr:col>0</xdr:col>
      <xdr:colOff>0</xdr:colOff>
      <xdr:row>26</xdr:row>
      <xdr:rowOff>0</xdr:rowOff>
    </xdr:from>
    <xdr:ext cx="341568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0" name="Textfeld 28">
              <a:extLst>
                <a:ext uri="{FF2B5EF4-FFF2-40B4-BE49-F238E27FC236}">
                  <a16:creationId xmlns:a16="http://schemas.microsoft.com/office/drawing/2014/main" id="{5E0521CF-7E02-41D9-839A-E13B8881DDE7}"/>
                </a:ext>
              </a:extLst>
            </xdr:cNvPr>
            <xdr:cNvSpPr txBox="1"/>
          </xdr:nvSpPr>
          <xdr:spPr>
            <a:xfrm>
              <a:off x="0" y="5795010"/>
              <a:ext cx="341568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de-DE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de-DE" sz="1100" b="0" i="1">
                            <a:latin typeface="Cambria Math" panose="02040503050406030204" pitchFamily="18" charset="0"/>
                          </a:rPr>
                          <m:t>𝑘</m:t>
                        </m:r>
                      </m:e>
                      <m:sub>
                        <m:r>
                          <a:rPr lang="de-DE" sz="1100" b="0" i="1">
                            <a:latin typeface="Cambria Math" panose="02040503050406030204" pitchFamily="18" charset="0"/>
                          </a:rPr>
                          <m:t>𝑚𝑜𝑑</m:t>
                        </m:r>
                      </m:sub>
                    </m:sSub>
                  </m:oMath>
                </m:oMathPara>
              </a14:m>
              <a:endParaRPr lang="de-DE" sz="1100"/>
            </a:p>
          </xdr:txBody>
        </xdr:sp>
      </mc:Choice>
      <mc:Fallback xmlns="">
        <xdr:sp macro="" textlink="">
          <xdr:nvSpPr>
            <xdr:cNvPr id="10" name="Textfeld 28">
              <a:extLst>
                <a:ext uri="{FF2B5EF4-FFF2-40B4-BE49-F238E27FC236}">
                  <a16:creationId xmlns:a16="http://schemas.microsoft.com/office/drawing/2014/main" id="{5E0521CF-7E02-41D9-839A-E13B8881DDE7}"/>
                </a:ext>
              </a:extLst>
            </xdr:cNvPr>
            <xdr:cNvSpPr txBox="1"/>
          </xdr:nvSpPr>
          <xdr:spPr>
            <a:xfrm>
              <a:off x="0" y="5795010"/>
              <a:ext cx="341568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de-DE" sz="1100" b="0" i="0">
                  <a:latin typeface="Cambria Math" panose="02040503050406030204" pitchFamily="18" charset="0"/>
                </a:rPr>
                <a:t>𝑘_𝑚𝑜𝑑</a:t>
              </a:r>
              <a:endParaRPr lang="de-DE" sz="1100"/>
            </a:p>
          </xdr:txBody>
        </xdr:sp>
      </mc:Fallback>
    </mc:AlternateContent>
    <xdr:clientData/>
  </xdr:oneCellAnchor>
  <xdr:oneCellAnchor>
    <xdr:from>
      <xdr:col>0</xdr:col>
      <xdr:colOff>4762</xdr:colOff>
      <xdr:row>31</xdr:row>
      <xdr:rowOff>169068</xdr:rowOff>
    </xdr:from>
    <xdr:ext cx="315599" cy="17697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1" name="Textfeld 28">
              <a:extLst>
                <a:ext uri="{FF2B5EF4-FFF2-40B4-BE49-F238E27FC236}">
                  <a16:creationId xmlns:a16="http://schemas.microsoft.com/office/drawing/2014/main" id="{9E08EFDA-F773-4D8A-9C46-E38ED0829CF7}"/>
                </a:ext>
              </a:extLst>
            </xdr:cNvPr>
            <xdr:cNvSpPr txBox="1"/>
          </xdr:nvSpPr>
          <xdr:spPr>
            <a:xfrm>
              <a:off x="4762" y="6878478"/>
              <a:ext cx="315599" cy="17697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de-DE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de-DE" sz="1100" b="0" i="1">
                            <a:latin typeface="Cambria Math" panose="02040503050406030204" pitchFamily="18" charset="0"/>
                          </a:rPr>
                          <m:t>𝑓</m:t>
                        </m:r>
                      </m:e>
                      <m:sub>
                        <m:r>
                          <a:rPr lang="de-DE" sz="1100" b="0" i="1">
                            <a:latin typeface="Cambria Math" panose="02040503050406030204" pitchFamily="18" charset="0"/>
                          </a:rPr>
                          <m:t>𝑐</m:t>
                        </m:r>
                        <m:r>
                          <a:rPr lang="de-DE" sz="1100" b="0" i="1">
                            <a:latin typeface="Cambria Math" panose="02040503050406030204" pitchFamily="18" charset="0"/>
                          </a:rPr>
                          <m:t>,0,</m:t>
                        </m:r>
                        <m:r>
                          <a:rPr lang="de-DE" sz="1100" b="0" i="1">
                            <a:latin typeface="Cambria Math" panose="02040503050406030204" pitchFamily="18" charset="0"/>
                          </a:rPr>
                          <m:t>𝑘</m:t>
                        </m:r>
                      </m:sub>
                    </m:sSub>
                  </m:oMath>
                </m:oMathPara>
              </a14:m>
              <a:endParaRPr lang="de-DE" sz="1100"/>
            </a:p>
          </xdr:txBody>
        </xdr:sp>
      </mc:Choice>
      <mc:Fallback xmlns="">
        <xdr:sp macro="" textlink="">
          <xdr:nvSpPr>
            <xdr:cNvPr id="11" name="Textfeld 28">
              <a:extLst>
                <a:ext uri="{FF2B5EF4-FFF2-40B4-BE49-F238E27FC236}">
                  <a16:creationId xmlns:a16="http://schemas.microsoft.com/office/drawing/2014/main" id="{9E08EFDA-F773-4D8A-9C46-E38ED0829CF7}"/>
                </a:ext>
              </a:extLst>
            </xdr:cNvPr>
            <xdr:cNvSpPr txBox="1"/>
          </xdr:nvSpPr>
          <xdr:spPr>
            <a:xfrm>
              <a:off x="4762" y="6878478"/>
              <a:ext cx="315599" cy="17697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de-DE" sz="1100" b="0" i="0">
                  <a:latin typeface="Cambria Math" panose="02040503050406030204" pitchFamily="18" charset="0"/>
                </a:rPr>
                <a:t>𝑓_(𝑐,0,𝑘)</a:t>
              </a:r>
              <a:endParaRPr lang="de-DE" sz="1100"/>
            </a:p>
          </xdr:txBody>
        </xdr:sp>
      </mc:Fallback>
    </mc:AlternateContent>
    <xdr:clientData/>
  </xdr:oneCellAnchor>
  <xdr:oneCellAnchor>
    <xdr:from>
      <xdr:col>0</xdr:col>
      <xdr:colOff>0</xdr:colOff>
      <xdr:row>33</xdr:row>
      <xdr:rowOff>0</xdr:rowOff>
    </xdr:from>
    <xdr:ext cx="366511" cy="18293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2" name="Textfeld 28">
              <a:extLst>
                <a:ext uri="{FF2B5EF4-FFF2-40B4-BE49-F238E27FC236}">
                  <a16:creationId xmlns:a16="http://schemas.microsoft.com/office/drawing/2014/main" id="{542BA280-4FB1-41A2-B00B-C376B04918C8}"/>
                </a:ext>
              </a:extLst>
            </xdr:cNvPr>
            <xdr:cNvSpPr txBox="1"/>
          </xdr:nvSpPr>
          <xdr:spPr>
            <a:xfrm>
              <a:off x="0" y="7075170"/>
              <a:ext cx="366511" cy="18293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de-DE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de-DE" sz="1100" b="0" i="1">
                            <a:latin typeface="Cambria Math" panose="02040503050406030204" pitchFamily="18" charset="0"/>
                          </a:rPr>
                          <m:t>𝑓</m:t>
                        </m:r>
                      </m:e>
                      <m:sub>
                        <m:r>
                          <a:rPr lang="de-DE" sz="1100" b="0" i="1">
                            <a:latin typeface="Cambria Math" panose="02040503050406030204" pitchFamily="18" charset="0"/>
                          </a:rPr>
                          <m:t>𝑚</m:t>
                        </m:r>
                        <m:r>
                          <a:rPr lang="de-DE" sz="1100" b="0" i="1">
                            <a:latin typeface="Cambria Math" panose="02040503050406030204" pitchFamily="18" charset="0"/>
                          </a:rPr>
                          <m:t>,</m:t>
                        </m:r>
                        <m:r>
                          <a:rPr lang="de-DE" sz="1100" b="0" i="1">
                            <a:latin typeface="Cambria Math" panose="02040503050406030204" pitchFamily="18" charset="0"/>
                          </a:rPr>
                          <m:t>𝑦</m:t>
                        </m:r>
                        <m:r>
                          <a:rPr lang="de-DE" sz="1100" b="0" i="1">
                            <a:latin typeface="Cambria Math" panose="02040503050406030204" pitchFamily="18" charset="0"/>
                          </a:rPr>
                          <m:t>,</m:t>
                        </m:r>
                        <m:r>
                          <a:rPr lang="de-DE" sz="1100" b="0" i="1">
                            <a:latin typeface="Cambria Math" panose="02040503050406030204" pitchFamily="18" charset="0"/>
                          </a:rPr>
                          <m:t>𝑘</m:t>
                        </m:r>
                      </m:sub>
                    </m:sSub>
                  </m:oMath>
                </m:oMathPara>
              </a14:m>
              <a:endParaRPr lang="de-DE" sz="1100"/>
            </a:p>
          </xdr:txBody>
        </xdr:sp>
      </mc:Choice>
      <mc:Fallback xmlns="">
        <xdr:sp macro="" textlink="">
          <xdr:nvSpPr>
            <xdr:cNvPr id="12" name="Textfeld 28">
              <a:extLst>
                <a:ext uri="{FF2B5EF4-FFF2-40B4-BE49-F238E27FC236}">
                  <a16:creationId xmlns:a16="http://schemas.microsoft.com/office/drawing/2014/main" id="{542BA280-4FB1-41A2-B00B-C376B04918C8}"/>
                </a:ext>
              </a:extLst>
            </xdr:cNvPr>
            <xdr:cNvSpPr txBox="1"/>
          </xdr:nvSpPr>
          <xdr:spPr>
            <a:xfrm>
              <a:off x="0" y="7075170"/>
              <a:ext cx="366511" cy="18293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de-DE" sz="1100" b="0" i="0">
                  <a:latin typeface="Cambria Math" panose="02040503050406030204" pitchFamily="18" charset="0"/>
                </a:rPr>
                <a:t>𝑓_(𝑚,𝑦,𝑘)</a:t>
              </a:r>
              <a:endParaRPr lang="de-DE" sz="1100"/>
            </a:p>
          </xdr:txBody>
        </xdr:sp>
      </mc:Fallback>
    </mc:AlternateContent>
    <xdr:clientData/>
  </xdr:oneCellAnchor>
  <xdr:oneCellAnchor>
    <xdr:from>
      <xdr:col>17</xdr:col>
      <xdr:colOff>0</xdr:colOff>
      <xdr:row>32</xdr:row>
      <xdr:rowOff>0</xdr:rowOff>
    </xdr:from>
    <xdr:ext cx="319318" cy="17697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3" name="Textfeld 28">
              <a:extLst>
                <a:ext uri="{FF2B5EF4-FFF2-40B4-BE49-F238E27FC236}">
                  <a16:creationId xmlns:a16="http://schemas.microsoft.com/office/drawing/2014/main" id="{95380FCC-8CC6-4646-888D-24B782B5E83E}"/>
                </a:ext>
              </a:extLst>
            </xdr:cNvPr>
            <xdr:cNvSpPr txBox="1"/>
          </xdr:nvSpPr>
          <xdr:spPr>
            <a:xfrm>
              <a:off x="2461260" y="6892290"/>
              <a:ext cx="319318" cy="17697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de-DE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de-DE" sz="1100" b="0" i="1">
                            <a:latin typeface="Cambria Math" panose="02040503050406030204" pitchFamily="18" charset="0"/>
                          </a:rPr>
                          <m:t>𝑓</m:t>
                        </m:r>
                      </m:e>
                      <m:sub>
                        <m:r>
                          <a:rPr lang="de-DE" sz="1100" b="0" i="1">
                            <a:latin typeface="Cambria Math" panose="02040503050406030204" pitchFamily="18" charset="0"/>
                          </a:rPr>
                          <m:t>𝑐</m:t>
                        </m:r>
                        <m:r>
                          <a:rPr lang="de-DE" sz="1100" b="0" i="1">
                            <a:latin typeface="Cambria Math" panose="02040503050406030204" pitchFamily="18" charset="0"/>
                          </a:rPr>
                          <m:t>,0,</m:t>
                        </m:r>
                        <m:r>
                          <a:rPr lang="de-DE" sz="1100" b="0" i="1">
                            <a:latin typeface="Cambria Math" panose="02040503050406030204" pitchFamily="18" charset="0"/>
                          </a:rPr>
                          <m:t>𝑑</m:t>
                        </m:r>
                      </m:sub>
                    </m:sSub>
                  </m:oMath>
                </m:oMathPara>
              </a14:m>
              <a:endParaRPr lang="de-DE" sz="1100"/>
            </a:p>
          </xdr:txBody>
        </xdr:sp>
      </mc:Choice>
      <mc:Fallback xmlns="">
        <xdr:sp macro="" textlink="">
          <xdr:nvSpPr>
            <xdr:cNvPr id="13" name="Textfeld 28">
              <a:extLst>
                <a:ext uri="{FF2B5EF4-FFF2-40B4-BE49-F238E27FC236}">
                  <a16:creationId xmlns:a16="http://schemas.microsoft.com/office/drawing/2014/main" id="{95380FCC-8CC6-4646-888D-24B782B5E83E}"/>
                </a:ext>
              </a:extLst>
            </xdr:cNvPr>
            <xdr:cNvSpPr txBox="1"/>
          </xdr:nvSpPr>
          <xdr:spPr>
            <a:xfrm>
              <a:off x="2461260" y="6892290"/>
              <a:ext cx="319318" cy="17697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de-DE" sz="1100" b="0" i="0">
                  <a:latin typeface="Cambria Math" panose="02040503050406030204" pitchFamily="18" charset="0"/>
                </a:rPr>
                <a:t>𝑓_(𝑐,0,𝑑)</a:t>
              </a:r>
              <a:endParaRPr lang="de-DE" sz="1100"/>
            </a:p>
          </xdr:txBody>
        </xdr:sp>
      </mc:Fallback>
    </mc:AlternateContent>
    <xdr:clientData/>
  </xdr:oneCellAnchor>
  <xdr:oneCellAnchor>
    <xdr:from>
      <xdr:col>17</xdr:col>
      <xdr:colOff>0</xdr:colOff>
      <xdr:row>33</xdr:row>
      <xdr:rowOff>0</xdr:rowOff>
    </xdr:from>
    <xdr:ext cx="370230" cy="18293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4" name="Textfeld 28">
              <a:extLst>
                <a:ext uri="{FF2B5EF4-FFF2-40B4-BE49-F238E27FC236}">
                  <a16:creationId xmlns:a16="http://schemas.microsoft.com/office/drawing/2014/main" id="{01DCEA31-1414-4033-AA13-A323A4A393DF}"/>
                </a:ext>
              </a:extLst>
            </xdr:cNvPr>
            <xdr:cNvSpPr txBox="1"/>
          </xdr:nvSpPr>
          <xdr:spPr>
            <a:xfrm>
              <a:off x="2461260" y="7075170"/>
              <a:ext cx="370230" cy="18293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de-DE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de-DE" sz="1100" b="0" i="1">
                            <a:latin typeface="Cambria Math" panose="02040503050406030204" pitchFamily="18" charset="0"/>
                          </a:rPr>
                          <m:t>𝑓</m:t>
                        </m:r>
                      </m:e>
                      <m:sub>
                        <m:r>
                          <a:rPr lang="de-DE" sz="1100" b="0" i="1">
                            <a:latin typeface="Cambria Math" panose="02040503050406030204" pitchFamily="18" charset="0"/>
                          </a:rPr>
                          <m:t>𝑚</m:t>
                        </m:r>
                        <m:r>
                          <a:rPr lang="de-DE" sz="1100" b="0" i="1">
                            <a:latin typeface="Cambria Math" panose="02040503050406030204" pitchFamily="18" charset="0"/>
                          </a:rPr>
                          <m:t>,</m:t>
                        </m:r>
                        <m:r>
                          <a:rPr lang="de-DE" sz="1100" b="0" i="1">
                            <a:latin typeface="Cambria Math" panose="02040503050406030204" pitchFamily="18" charset="0"/>
                          </a:rPr>
                          <m:t>𝑦</m:t>
                        </m:r>
                        <m:r>
                          <a:rPr lang="de-DE" sz="1100" b="0" i="1">
                            <a:latin typeface="Cambria Math" panose="02040503050406030204" pitchFamily="18" charset="0"/>
                          </a:rPr>
                          <m:t>,</m:t>
                        </m:r>
                        <m:r>
                          <a:rPr lang="de-DE" sz="1100" b="0" i="1">
                            <a:latin typeface="Cambria Math" panose="02040503050406030204" pitchFamily="18" charset="0"/>
                          </a:rPr>
                          <m:t>𝑑</m:t>
                        </m:r>
                      </m:sub>
                    </m:sSub>
                  </m:oMath>
                </m:oMathPara>
              </a14:m>
              <a:endParaRPr lang="de-DE" sz="1100"/>
            </a:p>
          </xdr:txBody>
        </xdr:sp>
      </mc:Choice>
      <mc:Fallback xmlns="">
        <xdr:sp macro="" textlink="">
          <xdr:nvSpPr>
            <xdr:cNvPr id="14" name="Textfeld 28">
              <a:extLst>
                <a:ext uri="{FF2B5EF4-FFF2-40B4-BE49-F238E27FC236}">
                  <a16:creationId xmlns:a16="http://schemas.microsoft.com/office/drawing/2014/main" id="{01DCEA31-1414-4033-AA13-A323A4A393DF}"/>
                </a:ext>
              </a:extLst>
            </xdr:cNvPr>
            <xdr:cNvSpPr txBox="1"/>
          </xdr:nvSpPr>
          <xdr:spPr>
            <a:xfrm>
              <a:off x="2461260" y="7075170"/>
              <a:ext cx="370230" cy="18293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de-DE" sz="1100" b="0" i="0">
                  <a:latin typeface="Cambria Math" panose="02040503050406030204" pitchFamily="18" charset="0"/>
                </a:rPr>
                <a:t>𝑓_(𝑚,𝑦,𝑑)</a:t>
              </a:r>
              <a:endParaRPr lang="de-DE" sz="1100"/>
            </a:p>
          </xdr:txBody>
        </xdr:sp>
      </mc:Fallback>
    </mc:AlternateContent>
    <xdr:clientData/>
  </xdr:oneCellAnchor>
  <xdr:oneCellAnchor>
    <xdr:from>
      <xdr:col>0</xdr:col>
      <xdr:colOff>0</xdr:colOff>
      <xdr:row>36</xdr:row>
      <xdr:rowOff>149468</xdr:rowOff>
    </xdr:from>
    <xdr:ext cx="426720" cy="275268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5" name="Textfeld 90">
              <a:extLst>
                <a:ext uri="{FF2B5EF4-FFF2-40B4-BE49-F238E27FC236}">
                  <a16:creationId xmlns:a16="http://schemas.microsoft.com/office/drawing/2014/main" id="{6BCCBCB0-4A51-4C8D-8F5C-13E8282D69E8}"/>
                </a:ext>
              </a:extLst>
            </xdr:cNvPr>
            <xdr:cNvSpPr txBox="1"/>
          </xdr:nvSpPr>
          <xdr:spPr>
            <a:xfrm>
              <a:off x="0" y="7773278"/>
              <a:ext cx="426720" cy="27526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de-DE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nor/>
                          </m:rPr>
                          <a:rPr lang="el-GR"/>
                          <m:t>λ</m:t>
                        </m:r>
                      </m:e>
                      <m:sub>
                        <m:r>
                          <a:rPr lang="de-DE" b="0" i="1">
                            <a:latin typeface="Cambria Math" panose="02040503050406030204" pitchFamily="18" charset="0"/>
                          </a:rPr>
                          <m:t>𝑦</m:t>
                        </m:r>
                      </m:sub>
                    </m:sSub>
                  </m:oMath>
                </m:oMathPara>
              </a14:m>
              <a:endParaRPr lang="de-DE" sz="1100"/>
            </a:p>
          </xdr:txBody>
        </xdr:sp>
      </mc:Choice>
      <mc:Fallback xmlns="">
        <xdr:sp macro="" textlink="">
          <xdr:nvSpPr>
            <xdr:cNvPr id="15" name="Textfeld 90">
              <a:extLst>
                <a:ext uri="{FF2B5EF4-FFF2-40B4-BE49-F238E27FC236}">
                  <a16:creationId xmlns:a16="http://schemas.microsoft.com/office/drawing/2014/main" id="{6BCCBCB0-4A51-4C8D-8F5C-13E8282D69E8}"/>
                </a:ext>
              </a:extLst>
            </xdr:cNvPr>
            <xdr:cNvSpPr txBox="1"/>
          </xdr:nvSpPr>
          <xdr:spPr>
            <a:xfrm>
              <a:off x="0" y="7773278"/>
              <a:ext cx="426720" cy="27526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:pPr/>
              <a:r>
                <a:rPr lang="el-GR" i="0"/>
                <a:t>"λ</a:t>
              </a:r>
              <a:r>
                <a:rPr lang="el-GR" i="0">
                  <a:latin typeface="Cambria Math" panose="02040503050406030204" pitchFamily="18" charset="0"/>
                </a:rPr>
                <a:t>" </a:t>
              </a:r>
              <a:r>
                <a:rPr lang="de-DE" sz="1100" i="0">
                  <a:latin typeface="Cambria Math" panose="02040503050406030204" pitchFamily="18" charset="0"/>
                </a:rPr>
                <a:t>_</a:t>
              </a:r>
              <a:r>
                <a:rPr lang="de-DE" b="0" i="0">
                  <a:latin typeface="Cambria Math" panose="02040503050406030204" pitchFamily="18" charset="0"/>
                </a:rPr>
                <a:t>𝑦</a:t>
              </a:r>
              <a:endParaRPr lang="de-DE" sz="1100"/>
            </a:p>
          </xdr:txBody>
        </xdr:sp>
      </mc:Fallback>
    </mc:AlternateContent>
    <xdr:clientData/>
  </xdr:oneCellAnchor>
  <xdr:oneCellAnchor>
    <xdr:from>
      <xdr:col>4</xdr:col>
      <xdr:colOff>131885</xdr:colOff>
      <xdr:row>35</xdr:row>
      <xdr:rowOff>137745</xdr:rowOff>
    </xdr:from>
    <xdr:ext cx="542192" cy="615874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6" name="Textfeld 91">
              <a:extLst>
                <a:ext uri="{FF2B5EF4-FFF2-40B4-BE49-F238E27FC236}">
                  <a16:creationId xmlns:a16="http://schemas.microsoft.com/office/drawing/2014/main" id="{09620477-8615-489F-B169-7B8EE4FF8ECD}"/>
                </a:ext>
              </a:extLst>
            </xdr:cNvPr>
            <xdr:cNvSpPr txBox="1"/>
          </xdr:nvSpPr>
          <xdr:spPr>
            <a:xfrm>
              <a:off x="711005" y="7578675"/>
              <a:ext cx="542192" cy="61587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ad>
                      <m:radPr>
                        <m:degHide m:val="on"/>
                        <m:ctrlPr>
                          <a:rPr lang="de-DE" sz="1100" b="0" i="1"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de-DE" sz="11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de-DE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𝛽</m:t>
                            </m:r>
                            <m:r>
                              <a:rPr lang="de-DE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∗</m:t>
                            </m:r>
                            <m:r>
                              <a:rPr lang="de-DE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𝐿</m:t>
                            </m:r>
                          </m:num>
                          <m:den>
                            <m:r>
                              <a:rPr lang="de-DE" sz="1100" b="0" i="1">
                                <a:latin typeface="Cambria Math" panose="02040503050406030204" pitchFamily="18" charset="0"/>
                              </a:rPr>
                              <m:t>𝑖</m:t>
                            </m:r>
                          </m:den>
                        </m:f>
                      </m:e>
                    </m:rad>
                  </m:oMath>
                </m:oMathPara>
              </a14:m>
              <a:endParaRPr lang="de-DE" sz="1100"/>
            </a:p>
          </xdr:txBody>
        </xdr:sp>
      </mc:Choice>
      <mc:Fallback xmlns="">
        <xdr:sp macro="" textlink="">
          <xdr:nvSpPr>
            <xdr:cNvPr id="16" name="Textfeld 91">
              <a:extLst>
                <a:ext uri="{FF2B5EF4-FFF2-40B4-BE49-F238E27FC236}">
                  <a16:creationId xmlns:a16="http://schemas.microsoft.com/office/drawing/2014/main" id="{09620477-8615-489F-B169-7B8EE4FF8ECD}"/>
                </a:ext>
              </a:extLst>
            </xdr:cNvPr>
            <xdr:cNvSpPr txBox="1"/>
          </xdr:nvSpPr>
          <xdr:spPr>
            <a:xfrm>
              <a:off x="711005" y="7578675"/>
              <a:ext cx="542192" cy="61587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:pPr/>
              <a:r>
                <a:rPr lang="de-DE" sz="1100" b="0" i="0">
                  <a:latin typeface="Cambria Math" panose="02040503050406030204" pitchFamily="18" charset="0"/>
                </a:rPr>
                <a:t>√((</a:t>
              </a:r>
              <a:r>
                <a:rPr lang="de-DE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𝛽∗𝐿)/</a:t>
              </a:r>
              <a:r>
                <a:rPr lang="de-DE" sz="1100" b="0" i="0">
                  <a:latin typeface="Cambria Math" panose="02040503050406030204" pitchFamily="18" charset="0"/>
                </a:rPr>
                <a:t>𝑖)</a:t>
              </a:r>
              <a:endParaRPr lang="de-DE" sz="1100"/>
            </a:p>
          </xdr:txBody>
        </xdr:sp>
      </mc:Fallback>
    </mc:AlternateContent>
    <xdr:clientData/>
  </xdr:oneCellAnchor>
  <xdr:oneCellAnchor>
    <xdr:from>
      <xdr:col>0</xdr:col>
      <xdr:colOff>0</xdr:colOff>
      <xdr:row>39</xdr:row>
      <xdr:rowOff>181707</xdr:rowOff>
    </xdr:from>
    <xdr:ext cx="426720" cy="269304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7" name="Textfeld 90">
              <a:extLst>
                <a:ext uri="{FF2B5EF4-FFF2-40B4-BE49-F238E27FC236}">
                  <a16:creationId xmlns:a16="http://schemas.microsoft.com/office/drawing/2014/main" id="{A35CC562-A34B-4727-9965-6457E19C8D78}"/>
                </a:ext>
              </a:extLst>
            </xdr:cNvPr>
            <xdr:cNvSpPr txBox="1"/>
          </xdr:nvSpPr>
          <xdr:spPr>
            <a:xfrm>
              <a:off x="0" y="8354157"/>
              <a:ext cx="426720" cy="26930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de-DE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nor/>
                          </m:rPr>
                          <a:rPr lang="el-GR"/>
                          <m:t>λ</m:t>
                        </m:r>
                      </m:e>
                      <m:sub>
                        <m:r>
                          <a:rPr lang="de-DE" sz="1100" b="0" i="1">
                            <a:latin typeface="Cambria Math"/>
                          </a:rPr>
                          <m:t>𝑟𝑒𝑙</m:t>
                        </m:r>
                        <m:r>
                          <a:rPr lang="de-DE" sz="1100" b="0" i="1">
                            <a:latin typeface="Cambria Math"/>
                          </a:rPr>
                          <m:t>,</m:t>
                        </m:r>
                        <m:r>
                          <a:rPr lang="de-DE" sz="1100" b="0" i="1">
                            <a:latin typeface="Cambria Math"/>
                          </a:rPr>
                          <m:t>𝑚</m:t>
                        </m:r>
                      </m:sub>
                    </m:sSub>
                  </m:oMath>
                </m:oMathPara>
              </a14:m>
              <a:endParaRPr lang="de-DE" sz="1100"/>
            </a:p>
          </xdr:txBody>
        </xdr:sp>
      </mc:Choice>
      <mc:Fallback xmlns="">
        <xdr:sp macro="" textlink="">
          <xdr:nvSpPr>
            <xdr:cNvPr id="17" name="Textfeld 90">
              <a:extLst>
                <a:ext uri="{FF2B5EF4-FFF2-40B4-BE49-F238E27FC236}">
                  <a16:creationId xmlns:a16="http://schemas.microsoft.com/office/drawing/2014/main" id="{A35CC562-A34B-4727-9965-6457E19C8D78}"/>
                </a:ext>
              </a:extLst>
            </xdr:cNvPr>
            <xdr:cNvSpPr txBox="1"/>
          </xdr:nvSpPr>
          <xdr:spPr>
            <a:xfrm>
              <a:off x="0" y="8354157"/>
              <a:ext cx="426720" cy="26930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:pPr/>
              <a:r>
                <a:rPr lang="el-GR" i="0"/>
                <a:t>"λ</a:t>
              </a:r>
              <a:r>
                <a:rPr lang="el-GR" i="0">
                  <a:latin typeface="Cambria Math" panose="02040503050406030204" pitchFamily="18" charset="0"/>
                </a:rPr>
                <a:t>" </a:t>
              </a:r>
              <a:r>
                <a:rPr lang="de-DE" sz="1100" i="0">
                  <a:latin typeface="Cambria Math" panose="02040503050406030204" pitchFamily="18" charset="0"/>
                </a:rPr>
                <a:t>_(</a:t>
              </a:r>
              <a:r>
                <a:rPr lang="de-DE" sz="1100" b="0" i="0">
                  <a:latin typeface="Cambria Math"/>
                </a:rPr>
                <a:t>𝑟𝑒𝑙,𝑚</a:t>
              </a:r>
              <a:r>
                <a:rPr lang="de-DE" sz="1100" b="0" i="0">
                  <a:latin typeface="Cambria Math" panose="02040503050406030204" pitchFamily="18" charset="0"/>
                </a:rPr>
                <a:t>)</a:t>
              </a:r>
              <a:endParaRPr lang="de-DE" sz="1100"/>
            </a:p>
          </xdr:txBody>
        </xdr:sp>
      </mc:Fallback>
    </mc:AlternateContent>
    <xdr:clientData/>
  </xdr:oneCellAnchor>
  <xdr:oneCellAnchor>
    <xdr:from>
      <xdr:col>1</xdr:col>
      <xdr:colOff>96715</xdr:colOff>
      <xdr:row>38</xdr:row>
      <xdr:rowOff>131884</xdr:rowOff>
    </xdr:from>
    <xdr:ext cx="1706880" cy="59247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8" name="Textfeld 91">
              <a:extLst>
                <a:ext uri="{FF2B5EF4-FFF2-40B4-BE49-F238E27FC236}">
                  <a16:creationId xmlns:a16="http://schemas.microsoft.com/office/drawing/2014/main" id="{F7A660EC-1563-4937-BDB3-F71DEB8890F9}"/>
                </a:ext>
              </a:extLst>
            </xdr:cNvPr>
            <xdr:cNvSpPr txBox="1"/>
          </xdr:nvSpPr>
          <xdr:spPr>
            <a:xfrm>
              <a:off x="241495" y="8121454"/>
              <a:ext cx="1706880" cy="59247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f>
                      <m:fPr>
                        <m:ctrlPr>
                          <a:rPr lang="de-DE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de-DE" sz="11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m:rPr>
                                <m:nor/>
                              </m:rPr>
                              <a:rPr lang="el-GR" sz="1100">
                                <a:solidFill>
                                  <a:schemeClr val="tx1"/>
                                </a:solidFill>
                                <a:effectLst/>
                                <a:latin typeface="+mn-lt"/>
                                <a:ea typeface="+mn-ea"/>
                                <a:cs typeface="+mn-cs"/>
                              </a:rPr>
                              <m:t>λ</m:t>
                            </m:r>
                          </m:e>
                          <m:sub>
                            <m:r>
                              <a:rPr lang="de-DE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𝑦</m:t>
                            </m:r>
                          </m:sub>
                        </m:sSub>
                        <m:r>
                          <m:rPr>
                            <m:nor/>
                          </m:rPr>
                          <a:rPr lang="en-US">
                            <a:effectLst/>
                          </a:rPr>
                          <m:t> </m:t>
                        </m:r>
                      </m:num>
                      <m:den>
                        <m:r>
                          <a:rPr lang="de-DE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  <m:t>𝜋</m:t>
                        </m:r>
                      </m:den>
                    </m:f>
                    <m:r>
                      <a:rPr lang="de-DE" sz="1100" b="0" i="1">
                        <a:latin typeface="Cambria Math"/>
                      </a:rPr>
                      <m:t>∗</m:t>
                    </m:r>
                    <m:rad>
                      <m:radPr>
                        <m:degHide m:val="on"/>
                        <m:ctrlPr>
                          <a:rPr lang="de-DE" sz="1100" b="0" i="1"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de-DE" sz="11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sSub>
                              <m:sSubPr>
                                <m:ctrlPr>
                                  <a:rPr lang="de-DE" sz="1100" b="0" i="1">
                                    <a:latin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de-DE" sz="1100" b="0" i="1">
                                    <a:latin typeface="Cambria Math"/>
                                  </a:rPr>
                                  <m:t>𝑓</m:t>
                                </m:r>
                              </m:e>
                              <m:sub>
                                <m:r>
                                  <a:rPr lang="de-DE" sz="1100" b="0" i="1">
                                    <a:latin typeface="Cambria Math" panose="02040503050406030204" pitchFamily="18" charset="0"/>
                                  </a:rPr>
                                  <m:t>𝑐</m:t>
                                </m:r>
                                <m:r>
                                  <a:rPr lang="de-DE" sz="1100" b="0" i="1">
                                    <a:latin typeface="Cambria Math" panose="02040503050406030204" pitchFamily="18" charset="0"/>
                                  </a:rPr>
                                  <m:t>,0,</m:t>
                                </m:r>
                                <m:r>
                                  <a:rPr lang="de-DE" sz="1100" b="0" i="1">
                                    <a:latin typeface="Cambria Math"/>
                                  </a:rPr>
                                  <m:t>𝑘</m:t>
                                </m:r>
                              </m:sub>
                            </m:sSub>
                          </m:num>
                          <m:den>
                            <m:sSub>
                              <m:sSubPr>
                                <m:ctrlPr>
                                  <a:rPr lang="de-DE" sz="1100" b="0" i="1">
                                    <a:latin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de-DE" sz="1100" b="0" i="1">
                                    <a:latin typeface="Cambria Math" panose="02040503050406030204" pitchFamily="18" charset="0"/>
                                  </a:rPr>
                                  <m:t>𝐸</m:t>
                                </m:r>
                              </m:e>
                              <m:sub>
                                <m:r>
                                  <a:rPr lang="de-DE" sz="1100" b="0" i="1">
                                    <a:latin typeface="Cambria Math" panose="02040503050406030204" pitchFamily="18" charset="0"/>
                                  </a:rPr>
                                  <m:t>0,05</m:t>
                                </m:r>
                              </m:sub>
                            </m:sSub>
                          </m:den>
                        </m:f>
                      </m:e>
                    </m:rad>
                  </m:oMath>
                </m:oMathPara>
              </a14:m>
              <a:endParaRPr lang="de-DE" sz="1100"/>
            </a:p>
          </xdr:txBody>
        </xdr:sp>
      </mc:Choice>
      <mc:Fallback xmlns="">
        <xdr:sp macro="" textlink="">
          <xdr:nvSpPr>
            <xdr:cNvPr id="18" name="Textfeld 91">
              <a:extLst>
                <a:ext uri="{FF2B5EF4-FFF2-40B4-BE49-F238E27FC236}">
                  <a16:creationId xmlns:a16="http://schemas.microsoft.com/office/drawing/2014/main" id="{F7A660EC-1563-4937-BDB3-F71DEB8890F9}"/>
                </a:ext>
              </a:extLst>
            </xdr:cNvPr>
            <xdr:cNvSpPr txBox="1"/>
          </xdr:nvSpPr>
          <xdr:spPr>
            <a:xfrm>
              <a:off x="241495" y="8121454"/>
              <a:ext cx="1706880" cy="59247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:pPr/>
              <a:r>
                <a:rPr lang="de-DE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(</a:t>
              </a:r>
              <a:r>
                <a:rPr lang="el-GR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"</a:t>
              </a:r>
              <a:r>
                <a:rPr lang="el-GR" sz="11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λ</a:t>
              </a:r>
              <a:r>
                <a:rPr lang="el-GR" sz="11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" </a:t>
              </a:r>
              <a:r>
                <a:rPr lang="de-DE" sz="11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_</a:t>
              </a:r>
              <a:r>
                <a:rPr lang="de-DE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𝑦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"</a:t>
              </a:r>
              <a:r>
                <a:rPr lang="en-US" i="0">
                  <a:effectLst/>
                </a:rPr>
                <a:t> </a:t>
              </a:r>
              <a:r>
                <a:rPr lang="en-US" i="0">
                  <a:effectLst/>
                  <a:latin typeface="Cambria Math" panose="02040503050406030204" pitchFamily="18" charset="0"/>
                </a:rPr>
                <a:t>" </a:t>
              </a:r>
              <a:r>
                <a:rPr lang="de-DE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)/</a:t>
              </a:r>
              <a:r>
                <a:rPr lang="de-DE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𝜋</a:t>
              </a:r>
              <a:r>
                <a:rPr lang="de-DE" sz="1100" b="0" i="0">
                  <a:latin typeface="Cambria Math"/>
                </a:rPr>
                <a:t>∗</a:t>
              </a:r>
              <a:r>
                <a:rPr lang="de-DE" sz="1100" b="0" i="0">
                  <a:latin typeface="Cambria Math" panose="02040503050406030204" pitchFamily="18" charset="0"/>
                </a:rPr>
                <a:t>√(</a:t>
              </a:r>
              <a:r>
                <a:rPr lang="de-DE" sz="1100" b="0" i="0">
                  <a:latin typeface="Cambria Math"/>
                </a:rPr>
                <a:t>𝑓</a:t>
              </a:r>
              <a:r>
                <a:rPr lang="de-DE" sz="1100" b="0" i="0">
                  <a:latin typeface="Cambria Math" panose="02040503050406030204" pitchFamily="18" charset="0"/>
                </a:rPr>
                <a:t>_(𝑐,0,</a:t>
              </a:r>
              <a:r>
                <a:rPr lang="de-DE" sz="1100" b="0" i="0">
                  <a:latin typeface="Cambria Math"/>
                </a:rPr>
                <a:t>𝑘</a:t>
              </a:r>
              <a:r>
                <a:rPr lang="de-DE" sz="1100" b="0" i="0">
                  <a:latin typeface="Cambria Math" panose="02040503050406030204" pitchFamily="18" charset="0"/>
                </a:rPr>
                <a:t>)/𝐸_0,05 )</a:t>
              </a:r>
              <a:endParaRPr lang="de-DE" sz="1100"/>
            </a:p>
          </xdr:txBody>
        </xdr:sp>
      </mc:Fallback>
    </mc:AlternateContent>
    <xdr:clientData/>
  </xdr:oneCellAnchor>
  <xdr:oneCellAnchor>
    <xdr:from>
      <xdr:col>2</xdr:col>
      <xdr:colOff>114300</xdr:colOff>
      <xdr:row>56</xdr:row>
      <xdr:rowOff>11430</xdr:rowOff>
    </xdr:from>
    <xdr:ext cx="1458059" cy="47699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9" name="Textfeld 21">
              <a:extLst>
                <a:ext uri="{FF2B5EF4-FFF2-40B4-BE49-F238E27FC236}">
                  <a16:creationId xmlns:a16="http://schemas.microsoft.com/office/drawing/2014/main" id="{D8D63E22-3A9E-4998-9AA7-99305048C6A4}"/>
                </a:ext>
              </a:extLst>
            </xdr:cNvPr>
            <xdr:cNvSpPr txBox="1"/>
          </xdr:nvSpPr>
          <xdr:spPr>
            <a:xfrm>
              <a:off x="403860" y="11292840"/>
              <a:ext cx="1458059" cy="47699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de-DE" sz="110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Pr>
                      <m:e>
                        <m:r>
                          <a:rPr lang="de-DE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𝑒</m:t>
                        </m:r>
                      </m:e>
                      <m:sub>
                        <m:r>
                          <a:rPr lang="de-DE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𝑖</m:t>
                        </m:r>
                      </m:sub>
                    </m:sSub>
                    <m:r>
                      <a:rPr lang="de-DE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=</m:t>
                    </m:r>
                    <m:f>
                      <m:fPr>
                        <m:ctrlPr>
                          <a:rPr lang="de-DE" sz="110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de-DE" sz="11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de-DE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𝑀</m:t>
                            </m:r>
                          </m:e>
                          <m:sub>
                            <m:r>
                              <a:rPr lang="de-DE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𝑖</m:t>
                            </m:r>
                          </m:sub>
                        </m:sSub>
                        <m:r>
                          <a:rPr lang="de-DE" sz="1100" b="0" i="1">
                            <a:latin typeface="Cambria Math"/>
                          </a:rPr>
                          <m:t>∗</m:t>
                        </m:r>
                        <m:sSub>
                          <m:sSubPr>
                            <m:ctrlPr>
                              <a:rPr lang="de-DE" sz="11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de-DE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𝐿</m:t>
                            </m:r>
                          </m:e>
                          <m:sub>
                            <m:r>
                              <a:rPr lang="de-DE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𝑒𝑓𝑓</m:t>
                            </m:r>
                          </m:sub>
                        </m:sSub>
                        <m:r>
                          <a:rPr lang="de-DE" sz="1100" b="0" i="1">
                            <a:latin typeface="Cambria Math"/>
                          </a:rPr>
                          <m:t>²</m:t>
                        </m:r>
                      </m:num>
                      <m:den>
                        <m:sSub>
                          <m:sSubPr>
                            <m:ctrlPr>
                              <a:rPr lang="de-DE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de-DE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𝐸</m:t>
                            </m:r>
                          </m:e>
                          <m:sub>
                            <m:r>
                              <a:rPr lang="de-DE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0,05</m:t>
                            </m:r>
                          </m:sub>
                        </m:sSub>
                        <m:r>
                          <a:rPr lang="de-DE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∗</m:t>
                        </m:r>
                        <m:r>
                          <a:rPr lang="de-DE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𝐼</m:t>
                        </m:r>
                        <m:r>
                          <a:rPr lang="de-DE" sz="1100" b="0" i="1">
                            <a:latin typeface="Cambria Math" panose="02040503050406030204" pitchFamily="18" charset="0"/>
                          </a:rPr>
                          <m:t>∗</m:t>
                        </m:r>
                        <m:sSup>
                          <m:sSupPr>
                            <m:ctrlPr>
                              <a:rPr lang="de-DE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pPr>
                          <m:e>
                            <m:r>
                              <a:rPr lang="de-DE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𝜋</m:t>
                            </m:r>
                          </m:e>
                          <m:sup>
                            <m:r>
                              <a:rPr lang="de-DE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2</m:t>
                            </m:r>
                          </m:sup>
                        </m:sSup>
                      </m:den>
                    </m:f>
                  </m:oMath>
                </m:oMathPara>
              </a14:m>
              <a:endParaRPr lang="de-DE" sz="1100"/>
            </a:p>
          </xdr:txBody>
        </xdr:sp>
      </mc:Choice>
      <mc:Fallback xmlns="">
        <xdr:sp macro="" textlink="">
          <xdr:nvSpPr>
            <xdr:cNvPr id="19" name="Textfeld 21">
              <a:extLst>
                <a:ext uri="{FF2B5EF4-FFF2-40B4-BE49-F238E27FC236}">
                  <a16:creationId xmlns:a16="http://schemas.microsoft.com/office/drawing/2014/main" id="{D8D63E22-3A9E-4998-9AA7-99305048C6A4}"/>
                </a:ext>
              </a:extLst>
            </xdr:cNvPr>
            <xdr:cNvSpPr txBox="1"/>
          </xdr:nvSpPr>
          <xdr:spPr>
            <a:xfrm>
              <a:off x="403860" y="11292840"/>
              <a:ext cx="1458059" cy="47699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:pPr/>
              <a:r>
                <a:rPr lang="de-DE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𝑒_𝑖=</a:t>
              </a:r>
              <a:r>
                <a:rPr lang="de-DE" sz="1100" i="0">
                  <a:latin typeface="Cambria Math" panose="02040503050406030204" pitchFamily="18" charset="0"/>
                </a:rPr>
                <a:t>(</a:t>
              </a:r>
              <a:r>
                <a:rPr lang="de-DE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𝑀_𝑖</a:t>
              </a:r>
              <a:r>
                <a:rPr lang="de-DE" sz="1100" b="0" i="0">
                  <a:latin typeface="Cambria Math"/>
                </a:rPr>
                <a:t>∗</a:t>
              </a:r>
              <a:r>
                <a:rPr lang="de-DE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𝐿_𝑒𝑓𝑓</a:t>
              </a:r>
              <a:r>
                <a:rPr lang="de-DE" sz="1100" b="0" i="0">
                  <a:solidFill>
                    <a:schemeClr val="tx1"/>
                  </a:solidFill>
                  <a:effectLst/>
                  <a:latin typeface="Cambria Math"/>
                  <a:ea typeface="+mn-ea"/>
                  <a:cs typeface="+mn-cs"/>
                </a:rPr>
                <a:t> </a:t>
              </a:r>
              <a:r>
                <a:rPr lang="de-DE" sz="1100" b="0" i="0">
                  <a:latin typeface="Cambria Math"/>
                </a:rPr>
                <a:t>²</a:t>
              </a:r>
              <a:r>
                <a:rPr lang="de-DE" sz="1100" b="0" i="0">
                  <a:latin typeface="Cambria Math" panose="02040503050406030204" pitchFamily="18" charset="0"/>
                </a:rPr>
                <a:t>)/(</a:t>
              </a:r>
              <a:r>
                <a:rPr lang="de-DE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𝐸_0,05∗𝐼</a:t>
              </a:r>
              <a:r>
                <a:rPr lang="de-DE" sz="1100" b="0" i="0">
                  <a:latin typeface="Cambria Math" panose="02040503050406030204" pitchFamily="18" charset="0"/>
                </a:rPr>
                <a:t>∗</a:t>
              </a:r>
              <a:r>
                <a:rPr lang="de-DE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𝜋^2 )</a:t>
              </a:r>
              <a:endParaRPr lang="de-DE" sz="1100"/>
            </a:p>
          </xdr:txBody>
        </xdr:sp>
      </mc:Fallback>
    </mc:AlternateContent>
    <xdr:clientData/>
  </xdr:oneCellAnchor>
  <xdr:oneCellAnchor>
    <xdr:from>
      <xdr:col>17</xdr:col>
      <xdr:colOff>0</xdr:colOff>
      <xdr:row>56</xdr:row>
      <xdr:rowOff>144780</xdr:rowOff>
    </xdr:from>
    <xdr:ext cx="1458059" cy="275268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0" name="Textfeld 21">
              <a:extLst>
                <a:ext uri="{FF2B5EF4-FFF2-40B4-BE49-F238E27FC236}">
                  <a16:creationId xmlns:a16="http://schemas.microsoft.com/office/drawing/2014/main" id="{8D02303A-C20C-471E-864B-8F1B0A5F4095}"/>
                </a:ext>
              </a:extLst>
            </xdr:cNvPr>
            <xdr:cNvSpPr txBox="1"/>
          </xdr:nvSpPr>
          <xdr:spPr>
            <a:xfrm>
              <a:off x="2461260" y="11426190"/>
              <a:ext cx="1458059" cy="27526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de-DE" sz="110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Pr>
                      <m:e>
                        <m:r>
                          <a:rPr lang="de-DE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𝑀</m:t>
                        </m:r>
                      </m:e>
                      <m:sub>
                        <m:r>
                          <a:rPr lang="de-DE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𝑖</m:t>
                        </m:r>
                      </m:sub>
                    </m:sSub>
                    <m:r>
                      <a:rPr lang="de-DE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=</m:t>
                    </m:r>
                    <m:sSub>
                      <m:sSubPr>
                        <m:ctrlPr>
                          <a:rPr lang="de-DE" sz="110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Pr>
                      <m:e>
                        <m:r>
                          <a:rPr lang="de-DE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𝑒</m:t>
                        </m:r>
                      </m:e>
                      <m:sub>
                        <m:r>
                          <a:rPr lang="de-DE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𝑖</m:t>
                        </m:r>
                      </m:sub>
                    </m:sSub>
                    <m:r>
                      <a:rPr lang="de-DE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∗</m:t>
                    </m:r>
                    <m:sSub>
                      <m:sSubPr>
                        <m:ctrlPr>
                          <a:rPr lang="de-DE" sz="110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Pr>
                      <m:e>
                        <m:r>
                          <a:rPr lang="de-DE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𝑁</m:t>
                        </m:r>
                      </m:e>
                      <m:sub>
                        <m:r>
                          <a:rPr lang="de-DE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𝑒𝑑</m:t>
                        </m:r>
                      </m:sub>
                    </m:sSub>
                    <m:r>
                      <a:rPr lang="de-DE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+</m:t>
                    </m:r>
                    <m:sSub>
                      <m:sSubPr>
                        <m:ctrlPr>
                          <a:rPr lang="de-DE" sz="110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Pr>
                      <m:e>
                        <m:r>
                          <a:rPr lang="de-DE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𝑀</m:t>
                        </m:r>
                      </m:e>
                      <m:sub>
                        <m:r>
                          <a:rPr lang="de-DE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𝑦𝑑</m:t>
                        </m:r>
                      </m:sub>
                    </m:sSub>
                  </m:oMath>
                </m:oMathPara>
              </a14:m>
              <a:endParaRPr lang="de-DE" sz="1100"/>
            </a:p>
          </xdr:txBody>
        </xdr:sp>
      </mc:Choice>
      <mc:Fallback xmlns="">
        <xdr:sp macro="" textlink="">
          <xdr:nvSpPr>
            <xdr:cNvPr id="20" name="Textfeld 21">
              <a:extLst>
                <a:ext uri="{FF2B5EF4-FFF2-40B4-BE49-F238E27FC236}">
                  <a16:creationId xmlns:a16="http://schemas.microsoft.com/office/drawing/2014/main" id="{8D02303A-C20C-471E-864B-8F1B0A5F4095}"/>
                </a:ext>
              </a:extLst>
            </xdr:cNvPr>
            <xdr:cNvSpPr txBox="1"/>
          </xdr:nvSpPr>
          <xdr:spPr>
            <a:xfrm>
              <a:off x="2461260" y="11426190"/>
              <a:ext cx="1458059" cy="27526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:pPr/>
              <a:r>
                <a:rPr lang="de-DE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𝑀_𝑖=𝑒_𝑖∗𝑁_𝑒𝑑+𝑀_𝑦𝑑</a:t>
              </a:r>
              <a:endParaRPr lang="de-DE" sz="1100"/>
            </a:p>
          </xdr:txBody>
        </xdr:sp>
      </mc:Fallback>
    </mc:AlternateContent>
    <xdr:clientData/>
  </xdr:one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587C20-FE52-43EF-B584-EFA6BA68E8D5}">
  <sheetPr codeName="Sheet3">
    <tabColor theme="1"/>
  </sheetPr>
  <dimension ref="A1:T222"/>
  <sheetViews>
    <sheetView showGridLines="0" zoomScaleNormal="100" workbookViewId="0">
      <selection activeCell="E37" sqref="E37"/>
    </sheetView>
  </sheetViews>
  <sheetFormatPr defaultColWidth="0" defaultRowHeight="14.4" zeroHeight="1" x14ac:dyDescent="0.55000000000000004"/>
  <cols>
    <col min="1" max="1" width="1.546875" style="526" customWidth="1"/>
    <col min="2" max="3" width="8.796875" style="526" customWidth="1"/>
    <col min="4" max="4" width="13.3984375" style="526" customWidth="1"/>
    <col min="5" max="8" width="8.796875" style="526" customWidth="1"/>
    <col min="9" max="9" width="8.796875" style="542" customWidth="1"/>
    <col min="10" max="11" width="8.796875" style="526" customWidth="1"/>
    <col min="12" max="12" width="1.546875" style="526" customWidth="1"/>
    <col min="13" max="15" width="8.796875" style="526" customWidth="1"/>
    <col min="16" max="16" width="1.546875" style="526" customWidth="1"/>
    <col min="17" max="18" width="8.796875" style="526" customWidth="1"/>
    <col min="19" max="19" width="1.546875" style="526" customWidth="1"/>
    <col min="20" max="20" width="0" style="526" hidden="1"/>
    <col min="21" max="16384" width="8.796875" style="526" hidden="1"/>
  </cols>
  <sheetData>
    <row r="1" spans="1:20" s="525" customFormat="1" ht="10" customHeight="1" x14ac:dyDescent="0.55000000000000004">
      <c r="A1" s="525">
        <v>1</v>
      </c>
      <c r="B1" s="525">
        <v>2</v>
      </c>
      <c r="C1" s="525">
        <v>3</v>
      </c>
      <c r="D1" s="525">
        <v>4</v>
      </c>
      <c r="E1" s="525">
        <v>5</v>
      </c>
      <c r="F1" s="525">
        <v>6</v>
      </c>
      <c r="G1" s="525">
        <v>7</v>
      </c>
      <c r="H1" s="525">
        <v>8</v>
      </c>
      <c r="I1" s="525">
        <v>9</v>
      </c>
      <c r="J1" s="525">
        <v>10</v>
      </c>
      <c r="K1" s="525">
        <v>11</v>
      </c>
      <c r="L1" s="525">
        <v>12</v>
      </c>
      <c r="M1" s="525">
        <v>13</v>
      </c>
      <c r="N1" s="525">
        <v>14</v>
      </c>
      <c r="O1" s="525">
        <v>15</v>
      </c>
      <c r="P1" s="525">
        <v>16</v>
      </c>
      <c r="Q1" s="525">
        <v>17</v>
      </c>
      <c r="R1" s="525">
        <v>18</v>
      </c>
      <c r="S1" s="525">
        <v>19</v>
      </c>
      <c r="T1" s="525">
        <v>20</v>
      </c>
    </row>
    <row r="2" spans="1:20" ht="25" customHeight="1" x14ac:dyDescent="0.55000000000000004">
      <c r="B2" s="163"/>
      <c r="C2" s="527"/>
      <c r="D2" s="528"/>
      <c r="E2" s="521" t="s">
        <v>364</v>
      </c>
      <c r="F2" s="521"/>
      <c r="G2" s="521"/>
      <c r="H2" s="521"/>
      <c r="I2" s="521"/>
      <c r="J2" s="521"/>
      <c r="K2" s="522"/>
      <c r="M2" s="440" t="s">
        <v>306</v>
      </c>
      <c r="N2" s="441"/>
      <c r="O2" s="442"/>
      <c r="Q2" s="517" t="s">
        <v>363</v>
      </c>
      <c r="R2" s="518"/>
    </row>
    <row r="3" spans="1:20" ht="25" customHeight="1" x14ac:dyDescent="0.55000000000000004">
      <c r="B3" s="529"/>
      <c r="C3" s="530"/>
      <c r="D3" s="531"/>
      <c r="E3" s="523"/>
      <c r="F3" s="523"/>
      <c r="G3" s="523"/>
      <c r="H3" s="523"/>
      <c r="I3" s="523"/>
      <c r="J3" s="523"/>
      <c r="K3" s="524"/>
      <c r="M3" s="515"/>
      <c r="N3" s="516"/>
      <c r="O3" s="464"/>
      <c r="Q3" s="519"/>
      <c r="R3" s="520"/>
    </row>
    <row r="4" spans="1:20" ht="25" customHeight="1" x14ac:dyDescent="0.55000000000000004">
      <c r="B4" s="529"/>
      <c r="C4" s="530"/>
      <c r="D4" s="531"/>
      <c r="E4" s="532"/>
      <c r="F4" s="531"/>
      <c r="G4" s="532"/>
      <c r="H4" s="531"/>
      <c r="I4" s="532"/>
      <c r="J4" s="531"/>
      <c r="K4" s="533"/>
      <c r="M4" s="534"/>
      <c r="N4" s="532"/>
      <c r="O4" s="535"/>
      <c r="Q4" s="536"/>
      <c r="R4" s="535"/>
    </row>
    <row r="5" spans="1:20" ht="25" customHeight="1" x14ac:dyDescent="0.55000000000000004">
      <c r="B5" s="537"/>
      <c r="C5" s="538"/>
      <c r="D5" s="539"/>
      <c r="E5" s="539"/>
      <c r="F5" s="539"/>
      <c r="G5" s="539"/>
      <c r="H5" s="539"/>
      <c r="I5" s="539"/>
      <c r="J5" s="539"/>
      <c r="K5" s="540"/>
      <c r="M5" s="541"/>
      <c r="N5" s="539"/>
      <c r="O5" s="540"/>
      <c r="Q5" s="541"/>
      <c r="R5" s="540"/>
    </row>
    <row r="6" spans="1:20" ht="10" customHeight="1" x14ac:dyDescent="0.55000000000000004"/>
    <row r="7" spans="1:20" s="543" customFormat="1" ht="18.600000000000001" customHeight="1" x14ac:dyDescent="0.6">
      <c r="B7" s="440" t="s">
        <v>19</v>
      </c>
      <c r="C7" s="441"/>
      <c r="D7" s="441"/>
      <c r="E7" s="441"/>
      <c r="F7" s="441" t="s">
        <v>20</v>
      </c>
      <c r="G7" s="441"/>
      <c r="H7" s="441"/>
      <c r="I7" s="441" t="s">
        <v>21</v>
      </c>
      <c r="J7" s="441"/>
      <c r="K7" s="442"/>
      <c r="L7" s="4"/>
      <c r="M7" s="440" t="s">
        <v>22</v>
      </c>
      <c r="N7" s="441"/>
      <c r="O7" s="442"/>
      <c r="Q7" s="440" t="s">
        <v>22</v>
      </c>
      <c r="R7" s="442"/>
    </row>
    <row r="8" spans="1:20" s="543" customFormat="1" ht="18.600000000000001" customHeight="1" x14ac:dyDescent="0.6">
      <c r="B8" s="544" t="s">
        <v>23</v>
      </c>
      <c r="C8" s="545" t="s">
        <v>24</v>
      </c>
      <c r="D8" s="545" t="s">
        <v>27</v>
      </c>
      <c r="E8" s="545" t="s">
        <v>28</v>
      </c>
      <c r="F8" s="545" t="s">
        <v>29</v>
      </c>
      <c r="G8" s="545" t="s">
        <v>30</v>
      </c>
      <c r="H8" s="545" t="s">
        <v>31</v>
      </c>
      <c r="I8" s="545" t="s">
        <v>32</v>
      </c>
      <c r="J8" s="545" t="s">
        <v>34</v>
      </c>
      <c r="K8" s="546" t="s">
        <v>35</v>
      </c>
      <c r="M8" s="544" t="s">
        <v>36</v>
      </c>
      <c r="N8" s="545" t="s">
        <v>37</v>
      </c>
      <c r="O8" s="546" t="s">
        <v>38</v>
      </c>
      <c r="Q8" s="544" t="s">
        <v>36</v>
      </c>
      <c r="R8" s="546" t="s">
        <v>37</v>
      </c>
    </row>
    <row r="9" spans="1:20" s="543" customFormat="1" ht="18.600000000000001" customHeight="1" x14ac:dyDescent="0.6">
      <c r="B9" s="547" t="s">
        <v>39</v>
      </c>
      <c r="C9" s="548" t="s">
        <v>39</v>
      </c>
      <c r="D9" s="548" t="s">
        <v>39</v>
      </c>
      <c r="E9" s="548" t="s">
        <v>39</v>
      </c>
      <c r="F9" s="548" t="s">
        <v>40</v>
      </c>
      <c r="G9" s="548" t="s">
        <v>40</v>
      </c>
      <c r="H9" s="548" t="s">
        <v>40</v>
      </c>
      <c r="I9" s="548" t="s">
        <v>41</v>
      </c>
      <c r="J9" s="548" t="s">
        <v>43</v>
      </c>
      <c r="K9" s="549" t="s">
        <v>43</v>
      </c>
      <c r="M9" s="547" t="s">
        <v>40</v>
      </c>
      <c r="N9" s="548" t="s">
        <v>40</v>
      </c>
      <c r="O9" s="549" t="s">
        <v>44</v>
      </c>
      <c r="Q9" s="547" t="s">
        <v>40</v>
      </c>
      <c r="R9" s="549" t="s">
        <v>40</v>
      </c>
    </row>
    <row r="10" spans="1:20" x14ac:dyDescent="0.55000000000000004">
      <c r="B10" s="550" t="s">
        <v>45</v>
      </c>
      <c r="C10" s="551" t="s">
        <v>46</v>
      </c>
      <c r="D10" s="552" t="s">
        <v>136</v>
      </c>
      <c r="E10" s="553" t="s">
        <v>173</v>
      </c>
      <c r="F10" s="554">
        <v>6</v>
      </c>
      <c r="G10" s="551">
        <v>0.5</v>
      </c>
      <c r="H10" s="555">
        <v>0.5</v>
      </c>
      <c r="I10" s="554">
        <v>4081.5297136929789</v>
      </c>
      <c r="J10" s="554">
        <v>0</v>
      </c>
      <c r="K10" s="556">
        <v>0</v>
      </c>
      <c r="M10" s="557">
        <v>61.56</v>
      </c>
      <c r="N10" s="558">
        <v>38.792999999999999</v>
      </c>
      <c r="O10" s="559"/>
      <c r="Q10" s="557">
        <v>70.933000000000007</v>
      </c>
      <c r="R10" s="560">
        <v>27.271999999999998</v>
      </c>
    </row>
    <row r="11" spans="1:20" x14ac:dyDescent="0.55000000000000004">
      <c r="B11" s="561" t="s">
        <v>50</v>
      </c>
      <c r="C11" s="562" t="s">
        <v>46</v>
      </c>
      <c r="D11" s="563" t="s">
        <v>136</v>
      </c>
      <c r="E11" s="564" t="s">
        <v>173</v>
      </c>
      <c r="F11" s="565">
        <v>8.3000000000000007</v>
      </c>
      <c r="G11" s="562">
        <v>0.5</v>
      </c>
      <c r="H11" s="566">
        <v>0.5</v>
      </c>
      <c r="I11" s="565">
        <v>4816.2927530042525</v>
      </c>
      <c r="J11" s="565">
        <v>0</v>
      </c>
      <c r="K11" s="567">
        <v>0</v>
      </c>
      <c r="M11" s="568">
        <v>47.197000000000003</v>
      </c>
      <c r="N11" s="565">
        <v>31.3</v>
      </c>
      <c r="O11" s="569"/>
      <c r="Q11" s="568">
        <v>34.625999999999998</v>
      </c>
      <c r="R11" s="567">
        <v>8.3309999999999995</v>
      </c>
    </row>
    <row r="12" spans="1:20" x14ac:dyDescent="0.55000000000000004">
      <c r="B12" s="570" t="s">
        <v>51</v>
      </c>
      <c r="C12" s="571" t="s">
        <v>46</v>
      </c>
      <c r="D12" s="572" t="s">
        <v>136</v>
      </c>
      <c r="E12" s="573" t="s">
        <v>173</v>
      </c>
      <c r="F12" s="574">
        <v>8.3000000000000007</v>
      </c>
      <c r="G12" s="571">
        <v>0.5</v>
      </c>
      <c r="H12" s="575">
        <v>0.5</v>
      </c>
      <c r="I12" s="574">
        <v>2911.1849201337691</v>
      </c>
      <c r="J12" s="574">
        <v>0</v>
      </c>
      <c r="K12" s="576">
        <v>0</v>
      </c>
      <c r="M12" s="577">
        <v>42.408999999999999</v>
      </c>
      <c r="N12" s="578">
        <v>28.802</v>
      </c>
      <c r="O12" s="579"/>
      <c r="Q12" s="577">
        <v>12.496</v>
      </c>
      <c r="R12" s="580">
        <v>37.590000000000003</v>
      </c>
    </row>
    <row r="13" spans="1:20" x14ac:dyDescent="0.55000000000000004">
      <c r="B13" s="561" t="s">
        <v>52</v>
      </c>
      <c r="C13" s="562" t="s">
        <v>46</v>
      </c>
      <c r="D13" s="563" t="s">
        <v>136</v>
      </c>
      <c r="E13" s="564" t="s">
        <v>173</v>
      </c>
      <c r="F13" s="565">
        <v>8.3000000000000007</v>
      </c>
      <c r="G13" s="562">
        <v>0.5</v>
      </c>
      <c r="H13" s="566">
        <v>0.5</v>
      </c>
      <c r="I13" s="565">
        <v>2882.8379599134305</v>
      </c>
      <c r="J13" s="565">
        <v>0</v>
      </c>
      <c r="K13" s="567">
        <v>0</v>
      </c>
      <c r="M13" s="568">
        <v>37.170999999999999</v>
      </c>
      <c r="N13" s="565">
        <v>29.087</v>
      </c>
      <c r="O13" s="569"/>
      <c r="Q13" s="568">
        <v>12.496</v>
      </c>
      <c r="R13" s="567">
        <v>68.906999999999996</v>
      </c>
    </row>
    <row r="14" spans="1:20" x14ac:dyDescent="0.55000000000000004">
      <c r="B14" s="570" t="s">
        <v>53</v>
      </c>
      <c r="C14" s="571" t="s">
        <v>46</v>
      </c>
      <c r="D14" s="572" t="s">
        <v>136</v>
      </c>
      <c r="E14" s="573" t="s">
        <v>173</v>
      </c>
      <c r="F14" s="574">
        <v>8.3000000000000007</v>
      </c>
      <c r="G14" s="571">
        <v>0.5</v>
      </c>
      <c r="H14" s="575">
        <v>0.5</v>
      </c>
      <c r="I14" s="574">
        <v>2929.6157570020541</v>
      </c>
      <c r="J14" s="574">
        <v>0</v>
      </c>
      <c r="K14" s="576">
        <v>0</v>
      </c>
      <c r="M14" s="577">
        <v>33.098999999999997</v>
      </c>
      <c r="N14" s="578">
        <v>34.47</v>
      </c>
      <c r="O14" s="579"/>
      <c r="Q14" s="577">
        <v>59.796999999999997</v>
      </c>
      <c r="R14" s="580">
        <v>68.906999999999996</v>
      </c>
    </row>
    <row r="15" spans="1:20" x14ac:dyDescent="0.55000000000000004">
      <c r="B15" s="561" t="s">
        <v>54</v>
      </c>
      <c r="C15" s="562" t="s">
        <v>46</v>
      </c>
      <c r="D15" s="563" t="s">
        <v>136</v>
      </c>
      <c r="E15" s="564" t="s">
        <v>173</v>
      </c>
      <c r="F15" s="565">
        <v>4</v>
      </c>
      <c r="G15" s="562">
        <v>0.5</v>
      </c>
      <c r="H15" s="566">
        <v>0.5</v>
      </c>
      <c r="I15" s="565">
        <v>3381.7611849060072</v>
      </c>
      <c r="J15" s="565">
        <v>85.5</v>
      </c>
      <c r="K15" s="567">
        <v>0</v>
      </c>
      <c r="M15" s="568">
        <v>27.045999999999999</v>
      </c>
      <c r="N15" s="565">
        <v>47.106999999999999</v>
      </c>
      <c r="O15" s="569"/>
      <c r="Q15" s="568">
        <v>61.89</v>
      </c>
      <c r="R15" s="567">
        <v>53.707000000000001</v>
      </c>
    </row>
    <row r="16" spans="1:20" x14ac:dyDescent="0.55000000000000004">
      <c r="B16" s="570" t="s">
        <v>56</v>
      </c>
      <c r="C16" s="571" t="s">
        <v>46</v>
      </c>
      <c r="D16" s="572" t="s">
        <v>136</v>
      </c>
      <c r="E16" s="573" t="s">
        <v>173</v>
      </c>
      <c r="F16" s="574">
        <v>4</v>
      </c>
      <c r="G16" s="571">
        <v>0.5</v>
      </c>
      <c r="H16" s="575">
        <v>0.5</v>
      </c>
      <c r="I16" s="574">
        <v>3431.2350132865922</v>
      </c>
      <c r="J16" s="574">
        <v>85.5</v>
      </c>
      <c r="K16" s="576">
        <v>0</v>
      </c>
      <c r="M16" s="577">
        <v>27.045999999999999</v>
      </c>
      <c r="N16" s="578">
        <v>52.506999999999998</v>
      </c>
      <c r="O16" s="579"/>
      <c r="Q16" s="577">
        <v>27.696000000000002</v>
      </c>
      <c r="R16" s="580">
        <v>53.707000000000001</v>
      </c>
    </row>
    <row r="17" spans="2:18" x14ac:dyDescent="0.55000000000000004">
      <c r="B17" s="561" t="s">
        <v>57</v>
      </c>
      <c r="C17" s="562" t="s">
        <v>46</v>
      </c>
      <c r="D17" s="563" t="s">
        <v>136</v>
      </c>
      <c r="E17" s="564" t="s">
        <v>173</v>
      </c>
      <c r="F17" s="565">
        <v>4</v>
      </c>
      <c r="G17" s="562">
        <v>0.5</v>
      </c>
      <c r="H17" s="566">
        <v>0.5</v>
      </c>
      <c r="I17" s="565">
        <v>3656.3577695446043</v>
      </c>
      <c r="J17" s="565">
        <v>112.5</v>
      </c>
      <c r="K17" s="567">
        <v>0</v>
      </c>
      <c r="M17" s="568">
        <v>28.896000000000001</v>
      </c>
      <c r="N17" s="565">
        <v>54.356999999999999</v>
      </c>
      <c r="O17" s="569"/>
      <c r="Q17" s="568">
        <v>27.696000000000002</v>
      </c>
      <c r="R17" s="567">
        <v>42.716000000000001</v>
      </c>
    </row>
    <row r="18" spans="2:18" x14ac:dyDescent="0.55000000000000004">
      <c r="B18" s="570" t="s">
        <v>58</v>
      </c>
      <c r="C18" s="571" t="s">
        <v>46</v>
      </c>
      <c r="D18" s="572" t="s">
        <v>136</v>
      </c>
      <c r="E18" s="573" t="s">
        <v>173</v>
      </c>
      <c r="F18" s="574">
        <v>4</v>
      </c>
      <c r="G18" s="571">
        <v>0.5</v>
      </c>
      <c r="H18" s="575">
        <v>0.5</v>
      </c>
      <c r="I18" s="574">
        <v>3858.1106159734732</v>
      </c>
      <c r="J18" s="574">
        <v>112.5</v>
      </c>
      <c r="K18" s="576">
        <v>0</v>
      </c>
      <c r="M18" s="577">
        <v>34.295999999999999</v>
      </c>
      <c r="N18" s="578">
        <v>54.356999999999999</v>
      </c>
      <c r="O18" s="579"/>
      <c r="Q18" s="577">
        <v>38.994</v>
      </c>
      <c r="R18" s="580">
        <v>27.754000000000001</v>
      </c>
    </row>
    <row r="19" spans="2:18" x14ac:dyDescent="0.55000000000000004">
      <c r="B19" s="561" t="s">
        <v>59</v>
      </c>
      <c r="C19" s="562" t="s">
        <v>46</v>
      </c>
      <c r="D19" s="563" t="s">
        <v>136</v>
      </c>
      <c r="E19" s="564" t="s">
        <v>173</v>
      </c>
      <c r="F19" s="565">
        <v>4</v>
      </c>
      <c r="G19" s="562">
        <v>0.5</v>
      </c>
      <c r="H19" s="566">
        <v>0.5</v>
      </c>
      <c r="I19" s="565">
        <v>3758.3704535007496</v>
      </c>
      <c r="J19" s="565">
        <v>112.5</v>
      </c>
      <c r="K19" s="567">
        <v>0</v>
      </c>
      <c r="M19" s="568">
        <v>50.496000000000002</v>
      </c>
      <c r="N19" s="565">
        <v>54.356999999999999</v>
      </c>
      <c r="O19" s="569"/>
      <c r="Q19" s="568">
        <v>65.858000000000004</v>
      </c>
      <c r="R19" s="567">
        <v>41.768999999999998</v>
      </c>
    </row>
    <row r="20" spans="2:18" x14ac:dyDescent="0.55000000000000004">
      <c r="B20" s="570" t="s">
        <v>60</v>
      </c>
      <c r="C20" s="571" t="s">
        <v>46</v>
      </c>
      <c r="D20" s="572" t="s">
        <v>136</v>
      </c>
      <c r="E20" s="573" t="s">
        <v>173</v>
      </c>
      <c r="F20" s="574">
        <v>4</v>
      </c>
      <c r="G20" s="571">
        <v>0.5</v>
      </c>
      <c r="H20" s="575">
        <v>0.5</v>
      </c>
      <c r="I20" s="574">
        <v>3900.0722323207851</v>
      </c>
      <c r="J20" s="574">
        <v>85.5</v>
      </c>
      <c r="K20" s="576">
        <v>0</v>
      </c>
      <c r="M20" s="577">
        <v>55.896000000000001</v>
      </c>
      <c r="N20" s="578">
        <v>54.356999999999999</v>
      </c>
      <c r="O20" s="579"/>
      <c r="Q20" s="577">
        <v>73.281000000000006</v>
      </c>
      <c r="R20" s="580">
        <v>31.954999999999998</v>
      </c>
    </row>
    <row r="21" spans="2:18" x14ac:dyDescent="0.55000000000000004">
      <c r="B21" s="561" t="s">
        <v>61</v>
      </c>
      <c r="C21" s="562" t="s">
        <v>46</v>
      </c>
      <c r="D21" s="563" t="s">
        <v>136</v>
      </c>
      <c r="E21" s="564" t="s">
        <v>173</v>
      </c>
      <c r="F21" s="565">
        <v>4</v>
      </c>
      <c r="G21" s="562">
        <v>0.5</v>
      </c>
      <c r="H21" s="566">
        <v>0.5</v>
      </c>
      <c r="I21" s="565">
        <v>2446.5977317600255</v>
      </c>
      <c r="J21" s="565">
        <v>85.5</v>
      </c>
      <c r="K21" s="567">
        <v>85.5</v>
      </c>
      <c r="M21" s="568">
        <v>55.896000000000001</v>
      </c>
      <c r="N21" s="565">
        <v>61.921999999999997</v>
      </c>
      <c r="O21" s="569"/>
      <c r="Q21" s="568">
        <v>69.058000000000007</v>
      </c>
      <c r="R21" s="567">
        <v>29.751000000000001</v>
      </c>
    </row>
    <row r="22" spans="2:18" x14ac:dyDescent="0.55000000000000004">
      <c r="B22" s="570" t="s">
        <v>62</v>
      </c>
      <c r="C22" s="571" t="s">
        <v>46</v>
      </c>
      <c r="D22" s="572" t="s">
        <v>136</v>
      </c>
      <c r="E22" s="573" t="s">
        <v>173</v>
      </c>
      <c r="F22" s="574">
        <v>7.8</v>
      </c>
      <c r="G22" s="571">
        <v>0.5</v>
      </c>
      <c r="H22" s="575">
        <v>0.5</v>
      </c>
      <c r="I22" s="574">
        <v>3843.0822775939168</v>
      </c>
      <c r="J22" s="574">
        <v>0</v>
      </c>
      <c r="K22" s="576">
        <v>0</v>
      </c>
      <c r="M22" s="577">
        <v>50.496000000000002</v>
      </c>
      <c r="N22" s="578">
        <v>61.921999999999997</v>
      </c>
      <c r="O22" s="579"/>
      <c r="Q22" s="581">
        <v>70.933000000000007</v>
      </c>
      <c r="R22" s="582">
        <v>27.271999999999998</v>
      </c>
    </row>
    <row r="23" spans="2:18" x14ac:dyDescent="0.55000000000000004">
      <c r="B23" s="561" t="s">
        <v>63</v>
      </c>
      <c r="C23" s="562" t="s">
        <v>46</v>
      </c>
      <c r="D23" s="563" t="s">
        <v>136</v>
      </c>
      <c r="E23" s="564" t="s">
        <v>173</v>
      </c>
      <c r="F23" s="565">
        <v>7.8</v>
      </c>
      <c r="G23" s="562">
        <v>0.5</v>
      </c>
      <c r="H23" s="566">
        <v>0.5</v>
      </c>
      <c r="I23" s="565">
        <v>2880.8993286421955</v>
      </c>
      <c r="J23" s="565">
        <v>0</v>
      </c>
      <c r="K23" s="567">
        <v>0</v>
      </c>
      <c r="M23" s="568">
        <v>45.095999999999997</v>
      </c>
      <c r="N23" s="565">
        <v>61.921999999999997</v>
      </c>
      <c r="O23" s="569"/>
    </row>
    <row r="24" spans="2:18" x14ac:dyDescent="0.55000000000000004">
      <c r="B24" s="570" t="s">
        <v>64</v>
      </c>
      <c r="C24" s="571" t="s">
        <v>46</v>
      </c>
      <c r="D24" s="572" t="s">
        <v>136</v>
      </c>
      <c r="E24" s="573" t="s">
        <v>173</v>
      </c>
      <c r="F24" s="574">
        <v>7.8</v>
      </c>
      <c r="G24" s="571">
        <v>0.5</v>
      </c>
      <c r="H24" s="575">
        <v>0.5</v>
      </c>
      <c r="I24" s="574">
        <v>3084.8357585433182</v>
      </c>
      <c r="J24" s="574">
        <v>0</v>
      </c>
      <c r="K24" s="576">
        <v>0</v>
      </c>
      <c r="M24" s="577">
        <v>39.695999999999998</v>
      </c>
      <c r="N24" s="578">
        <v>61.921999999999997</v>
      </c>
      <c r="O24" s="579"/>
    </row>
    <row r="25" spans="2:18" x14ac:dyDescent="0.55000000000000004">
      <c r="B25" s="561" t="s">
        <v>65</v>
      </c>
      <c r="C25" s="562" t="s">
        <v>46</v>
      </c>
      <c r="D25" s="563" t="s">
        <v>136</v>
      </c>
      <c r="E25" s="564" t="s">
        <v>173</v>
      </c>
      <c r="F25" s="565">
        <v>7.8</v>
      </c>
      <c r="G25" s="562">
        <v>0.5</v>
      </c>
      <c r="H25" s="566">
        <v>0.5</v>
      </c>
      <c r="I25" s="565">
        <v>2977.2685686019099</v>
      </c>
      <c r="J25" s="565">
        <v>0</v>
      </c>
      <c r="K25" s="567">
        <v>0</v>
      </c>
      <c r="M25" s="568">
        <v>34.295999999999999</v>
      </c>
      <c r="N25" s="565">
        <v>61.921999999999997</v>
      </c>
      <c r="O25" s="569"/>
    </row>
    <row r="26" spans="2:18" x14ac:dyDescent="0.55000000000000004">
      <c r="B26" s="570" t="s">
        <v>66</v>
      </c>
      <c r="C26" s="571" t="s">
        <v>46</v>
      </c>
      <c r="D26" s="572" t="s">
        <v>136</v>
      </c>
      <c r="E26" s="573" t="s">
        <v>173</v>
      </c>
      <c r="F26" s="574">
        <v>7.8</v>
      </c>
      <c r="G26" s="571">
        <v>0.5</v>
      </c>
      <c r="H26" s="575">
        <v>0.5</v>
      </c>
      <c r="I26" s="574">
        <v>3987.2978253462948</v>
      </c>
      <c r="J26" s="574">
        <v>0</v>
      </c>
      <c r="K26" s="576">
        <v>0</v>
      </c>
      <c r="M26" s="577">
        <v>28.896000000000001</v>
      </c>
      <c r="N26" s="578">
        <v>61.921999999999997</v>
      </c>
      <c r="O26" s="579"/>
    </row>
    <row r="27" spans="2:18" x14ac:dyDescent="0.55000000000000004">
      <c r="B27" s="561" t="s">
        <v>67</v>
      </c>
      <c r="C27" s="562" t="s">
        <v>46</v>
      </c>
      <c r="D27" s="563" t="s">
        <v>136</v>
      </c>
      <c r="E27" s="564" t="s">
        <v>173</v>
      </c>
      <c r="F27" s="565">
        <v>4</v>
      </c>
      <c r="G27" s="562">
        <v>0.5</v>
      </c>
      <c r="H27" s="566">
        <v>0.5</v>
      </c>
      <c r="I27" s="565">
        <v>3354.9670844478624</v>
      </c>
      <c r="J27" s="565">
        <v>0</v>
      </c>
      <c r="K27" s="567">
        <v>85.5</v>
      </c>
      <c r="M27" s="568">
        <v>23.495999999999999</v>
      </c>
      <c r="N27" s="565">
        <v>61.921999999999997</v>
      </c>
      <c r="O27" s="569"/>
    </row>
    <row r="28" spans="2:18" x14ac:dyDescent="0.55000000000000004">
      <c r="B28" s="570" t="s">
        <v>68</v>
      </c>
      <c r="C28" s="571" t="s">
        <v>46</v>
      </c>
      <c r="D28" s="572" t="s">
        <v>136</v>
      </c>
      <c r="E28" s="573" t="s">
        <v>173</v>
      </c>
      <c r="F28" s="574">
        <v>4</v>
      </c>
      <c r="G28" s="571">
        <v>0.5</v>
      </c>
      <c r="H28" s="575">
        <v>0.5</v>
      </c>
      <c r="I28" s="574">
        <v>4410.6352083835627</v>
      </c>
      <c r="J28" s="574">
        <v>0</v>
      </c>
      <c r="K28" s="576">
        <v>112.5</v>
      </c>
      <c r="M28" s="577">
        <v>19.481000000000002</v>
      </c>
      <c r="N28" s="578">
        <v>57.906999999999996</v>
      </c>
      <c r="O28" s="579"/>
    </row>
    <row r="29" spans="2:18" x14ac:dyDescent="0.55000000000000004">
      <c r="B29" s="561" t="s">
        <v>69</v>
      </c>
      <c r="C29" s="562" t="s">
        <v>46</v>
      </c>
      <c r="D29" s="563" t="s">
        <v>136</v>
      </c>
      <c r="E29" s="564" t="s">
        <v>173</v>
      </c>
      <c r="F29" s="565">
        <v>4</v>
      </c>
      <c r="G29" s="562">
        <v>0.5</v>
      </c>
      <c r="H29" s="566">
        <v>0.5</v>
      </c>
      <c r="I29" s="565">
        <v>2562.6882614407527</v>
      </c>
      <c r="J29" s="565">
        <v>112.5</v>
      </c>
      <c r="K29" s="567">
        <v>85.5</v>
      </c>
      <c r="M29" s="568">
        <v>19.481000000000002</v>
      </c>
      <c r="N29" s="565">
        <v>52.506999999999998</v>
      </c>
      <c r="O29" s="569"/>
    </row>
    <row r="30" spans="2:18" x14ac:dyDescent="0.55000000000000004">
      <c r="B30" s="570" t="s">
        <v>70</v>
      </c>
      <c r="C30" s="571" t="s">
        <v>46</v>
      </c>
      <c r="D30" s="572" t="s">
        <v>136</v>
      </c>
      <c r="E30" s="573" t="s">
        <v>173</v>
      </c>
      <c r="F30" s="574">
        <v>4</v>
      </c>
      <c r="G30" s="571">
        <v>0.5</v>
      </c>
      <c r="H30" s="575">
        <v>0.5</v>
      </c>
      <c r="I30" s="574">
        <v>2865.6686480426793</v>
      </c>
      <c r="J30" s="574">
        <v>85.5</v>
      </c>
      <c r="K30" s="576">
        <v>0</v>
      </c>
      <c r="M30" s="577">
        <v>19.481000000000002</v>
      </c>
      <c r="N30" s="578">
        <v>47.106999999999999</v>
      </c>
      <c r="O30" s="579"/>
    </row>
    <row r="31" spans="2:18" x14ac:dyDescent="0.55000000000000004">
      <c r="B31" s="561" t="s">
        <v>71</v>
      </c>
      <c r="C31" s="562" t="s">
        <v>46</v>
      </c>
      <c r="D31" s="563" t="s">
        <v>136</v>
      </c>
      <c r="E31" s="564" t="s">
        <v>173</v>
      </c>
      <c r="F31" s="565">
        <v>4</v>
      </c>
      <c r="G31" s="562">
        <v>0.5</v>
      </c>
      <c r="H31" s="566">
        <v>0.5</v>
      </c>
      <c r="I31" s="565">
        <v>3381.5948263549803</v>
      </c>
      <c r="J31" s="565">
        <v>85.5</v>
      </c>
      <c r="K31" s="567">
        <v>0</v>
      </c>
      <c r="M31" s="568">
        <v>19.481000000000002</v>
      </c>
      <c r="N31" s="565">
        <v>41.707000000000001</v>
      </c>
      <c r="O31" s="569"/>
    </row>
    <row r="32" spans="2:18" x14ac:dyDescent="0.55000000000000004">
      <c r="B32" s="570" t="s">
        <v>72</v>
      </c>
      <c r="C32" s="571" t="s">
        <v>46</v>
      </c>
      <c r="D32" s="572" t="s">
        <v>136</v>
      </c>
      <c r="E32" s="573" t="s">
        <v>173</v>
      </c>
      <c r="F32" s="574">
        <v>4</v>
      </c>
      <c r="G32" s="571">
        <v>0.5</v>
      </c>
      <c r="H32" s="575">
        <v>0.5</v>
      </c>
      <c r="I32" s="574">
        <v>3352.340667062761</v>
      </c>
      <c r="J32" s="574">
        <v>85.5</v>
      </c>
      <c r="K32" s="576">
        <v>0</v>
      </c>
      <c r="M32" s="577">
        <v>19.736000000000001</v>
      </c>
      <c r="N32" s="578">
        <v>39.597000000000001</v>
      </c>
      <c r="O32" s="579"/>
    </row>
    <row r="33" spans="2:15" x14ac:dyDescent="0.55000000000000004">
      <c r="B33" s="561" t="s">
        <v>73</v>
      </c>
      <c r="C33" s="562" t="s">
        <v>46</v>
      </c>
      <c r="D33" s="563" t="s">
        <v>136</v>
      </c>
      <c r="E33" s="564" t="s">
        <v>173</v>
      </c>
      <c r="F33" s="565">
        <v>4</v>
      </c>
      <c r="G33" s="562">
        <v>0.5</v>
      </c>
      <c r="H33" s="566">
        <v>0.5</v>
      </c>
      <c r="I33" s="565">
        <v>3035.8056892490395</v>
      </c>
      <c r="J33" s="565">
        <v>85.5</v>
      </c>
      <c r="K33" s="567">
        <v>0</v>
      </c>
      <c r="M33" s="568">
        <v>22.992999999999999</v>
      </c>
      <c r="N33" s="565">
        <v>35.29</v>
      </c>
      <c r="O33" s="569"/>
    </row>
    <row r="34" spans="2:15" x14ac:dyDescent="0.55000000000000004">
      <c r="B34" s="570" t="s">
        <v>74</v>
      </c>
      <c r="C34" s="571" t="s">
        <v>46</v>
      </c>
      <c r="D34" s="572" t="s">
        <v>136</v>
      </c>
      <c r="E34" s="573" t="s">
        <v>173</v>
      </c>
      <c r="F34" s="574">
        <v>4</v>
      </c>
      <c r="G34" s="571">
        <v>0.5</v>
      </c>
      <c r="H34" s="575">
        <v>0.5</v>
      </c>
      <c r="I34" s="574">
        <v>5821.9286283531219</v>
      </c>
      <c r="J34" s="574">
        <v>180</v>
      </c>
      <c r="K34" s="576">
        <v>0</v>
      </c>
      <c r="M34" s="577">
        <v>27.065000000000001</v>
      </c>
      <c r="N34" s="578">
        <v>29.907</v>
      </c>
      <c r="O34" s="579"/>
    </row>
    <row r="35" spans="2:15" x14ac:dyDescent="0.55000000000000004">
      <c r="B35" s="561" t="s">
        <v>75</v>
      </c>
      <c r="C35" s="562" t="s">
        <v>46</v>
      </c>
      <c r="D35" s="563" t="s">
        <v>136</v>
      </c>
      <c r="E35" s="564" t="s">
        <v>173</v>
      </c>
      <c r="F35" s="565">
        <v>4</v>
      </c>
      <c r="G35" s="562">
        <v>0.5</v>
      </c>
      <c r="H35" s="566">
        <v>0.5</v>
      </c>
      <c r="I35" s="565">
        <v>4825.9548870162971</v>
      </c>
      <c r="J35" s="565">
        <v>169.5</v>
      </c>
      <c r="K35" s="567">
        <v>0</v>
      </c>
      <c r="M35" s="568">
        <v>31.137</v>
      </c>
      <c r="N35" s="565">
        <v>24.523</v>
      </c>
      <c r="O35" s="569"/>
    </row>
    <row r="36" spans="2:15" x14ac:dyDescent="0.55000000000000004">
      <c r="B36" s="570" t="s">
        <v>76</v>
      </c>
      <c r="C36" s="571" t="s">
        <v>46</v>
      </c>
      <c r="D36" s="572" t="s">
        <v>136</v>
      </c>
      <c r="E36" s="573" t="s">
        <v>173</v>
      </c>
      <c r="F36" s="574">
        <v>4</v>
      </c>
      <c r="G36" s="571">
        <v>0.5</v>
      </c>
      <c r="H36" s="575">
        <v>0.5</v>
      </c>
      <c r="I36" s="574">
        <v>4383.1560808839804</v>
      </c>
      <c r="J36" s="574">
        <v>169.5</v>
      </c>
      <c r="K36" s="576">
        <v>0</v>
      </c>
      <c r="M36" s="577">
        <v>35.209000000000003</v>
      </c>
      <c r="N36" s="578">
        <v>19.14</v>
      </c>
      <c r="O36" s="579"/>
    </row>
    <row r="37" spans="2:15" x14ac:dyDescent="0.55000000000000004">
      <c r="B37" s="561" t="s">
        <v>77</v>
      </c>
      <c r="C37" s="562" t="s">
        <v>46</v>
      </c>
      <c r="D37" s="563" t="s">
        <v>136</v>
      </c>
      <c r="E37" s="564" t="s">
        <v>173</v>
      </c>
      <c r="F37" s="565">
        <v>4</v>
      </c>
      <c r="G37" s="562">
        <v>0.5</v>
      </c>
      <c r="H37" s="566">
        <v>0.5</v>
      </c>
      <c r="I37" s="565">
        <v>4336.7367979774481</v>
      </c>
      <c r="J37" s="565">
        <v>169.5</v>
      </c>
      <c r="K37" s="567">
        <v>0</v>
      </c>
      <c r="M37" s="568">
        <v>41.121000000000002</v>
      </c>
      <c r="N37" s="565">
        <v>19.597000000000001</v>
      </c>
      <c r="O37" s="569"/>
    </row>
    <row r="38" spans="2:15" x14ac:dyDescent="0.55000000000000004">
      <c r="B38" s="570" t="s">
        <v>78</v>
      </c>
      <c r="C38" s="571" t="s">
        <v>46</v>
      </c>
      <c r="D38" s="572" t="s">
        <v>136</v>
      </c>
      <c r="E38" s="573" t="s">
        <v>173</v>
      </c>
      <c r="F38" s="574">
        <v>7.8</v>
      </c>
      <c r="G38" s="571">
        <v>0.5</v>
      </c>
      <c r="H38" s="575">
        <v>0.5</v>
      </c>
      <c r="I38" s="574">
        <v>3052.7612273696118</v>
      </c>
      <c r="J38" s="574">
        <v>0</v>
      </c>
      <c r="K38" s="576">
        <v>0</v>
      </c>
      <c r="M38" s="577">
        <v>45.655999999999999</v>
      </c>
      <c r="N38" s="578">
        <v>21.963000000000001</v>
      </c>
      <c r="O38" s="579"/>
    </row>
    <row r="39" spans="2:15" x14ac:dyDescent="0.55000000000000004">
      <c r="B39" s="561" t="s">
        <v>79</v>
      </c>
      <c r="C39" s="562" t="s">
        <v>46</v>
      </c>
      <c r="D39" s="563" t="s">
        <v>136</v>
      </c>
      <c r="E39" s="564" t="s">
        <v>173</v>
      </c>
      <c r="F39" s="565">
        <v>7.8</v>
      </c>
      <c r="G39" s="562">
        <v>0.5</v>
      </c>
      <c r="H39" s="566">
        <v>0.5</v>
      </c>
      <c r="I39" s="565">
        <v>3901.5090693953666</v>
      </c>
      <c r="J39" s="565">
        <v>0</v>
      </c>
      <c r="K39" s="567">
        <v>0</v>
      </c>
      <c r="M39" s="568">
        <v>50.695999999999998</v>
      </c>
      <c r="N39" s="565">
        <v>24.593</v>
      </c>
      <c r="O39" s="569"/>
    </row>
    <row r="40" spans="2:15" x14ac:dyDescent="0.55000000000000004">
      <c r="B40" s="570" t="s">
        <v>80</v>
      </c>
      <c r="C40" s="571" t="s">
        <v>46</v>
      </c>
      <c r="D40" s="572" t="s">
        <v>136</v>
      </c>
      <c r="E40" s="573" t="s">
        <v>173</v>
      </c>
      <c r="F40" s="574">
        <v>7.8</v>
      </c>
      <c r="G40" s="571">
        <v>0.5</v>
      </c>
      <c r="H40" s="575">
        <v>0.5</v>
      </c>
      <c r="I40" s="574">
        <v>3816.5474056533039</v>
      </c>
      <c r="J40" s="574">
        <v>0</v>
      </c>
      <c r="K40" s="576">
        <v>0</v>
      </c>
      <c r="M40" s="577">
        <v>55.484000000000002</v>
      </c>
      <c r="N40" s="578">
        <v>27.091000000000001</v>
      </c>
      <c r="O40" s="579"/>
    </row>
    <row r="41" spans="2:15" x14ac:dyDescent="0.55000000000000004">
      <c r="B41" s="561" t="s">
        <v>81</v>
      </c>
      <c r="C41" s="562" t="s">
        <v>46</v>
      </c>
      <c r="D41" s="563" t="s">
        <v>136</v>
      </c>
      <c r="E41" s="564" t="s">
        <v>173</v>
      </c>
      <c r="F41" s="565">
        <v>7.8</v>
      </c>
      <c r="G41" s="562">
        <v>0.5</v>
      </c>
      <c r="H41" s="566">
        <v>0.5</v>
      </c>
      <c r="I41" s="565">
        <v>3804.0222902968571</v>
      </c>
      <c r="J41" s="565">
        <v>0</v>
      </c>
      <c r="K41" s="567">
        <v>0</v>
      </c>
      <c r="M41" s="568">
        <v>60.271000000000001</v>
      </c>
      <c r="N41" s="565">
        <v>29.588000000000001</v>
      </c>
      <c r="O41" s="569"/>
    </row>
    <row r="42" spans="2:15" x14ac:dyDescent="0.55000000000000004">
      <c r="B42" s="570" t="s">
        <v>82</v>
      </c>
      <c r="C42" s="571" t="s">
        <v>46</v>
      </c>
      <c r="D42" s="572" t="s">
        <v>136</v>
      </c>
      <c r="E42" s="573" t="s">
        <v>173</v>
      </c>
      <c r="F42" s="574">
        <v>7.8</v>
      </c>
      <c r="G42" s="571">
        <v>0.5</v>
      </c>
      <c r="H42" s="575">
        <v>0.5</v>
      </c>
      <c r="I42" s="574">
        <v>3773.9549729445657</v>
      </c>
      <c r="J42" s="574">
        <v>0</v>
      </c>
      <c r="K42" s="576">
        <v>0</v>
      </c>
      <c r="M42" s="577">
        <v>65.058999999999997</v>
      </c>
      <c r="N42" s="578">
        <v>32.085999999999999</v>
      </c>
      <c r="O42" s="579"/>
    </row>
    <row r="43" spans="2:15" x14ac:dyDescent="0.55000000000000004">
      <c r="B43" s="561" t="s">
        <v>83</v>
      </c>
      <c r="C43" s="562" t="s">
        <v>46</v>
      </c>
      <c r="D43" s="563" t="s">
        <v>136</v>
      </c>
      <c r="E43" s="564" t="s">
        <v>173</v>
      </c>
      <c r="F43" s="565">
        <v>4</v>
      </c>
      <c r="G43" s="562">
        <v>0.5</v>
      </c>
      <c r="H43" s="566">
        <v>0.5</v>
      </c>
      <c r="I43" s="565">
        <v>4282.6421016826616</v>
      </c>
      <c r="J43" s="565">
        <v>139.5</v>
      </c>
      <c r="K43" s="567">
        <v>0</v>
      </c>
      <c r="M43" s="568">
        <v>67.965999999999994</v>
      </c>
      <c r="N43" s="565">
        <v>26.513999999999999</v>
      </c>
      <c r="O43" s="569"/>
    </row>
    <row r="44" spans="2:15" x14ac:dyDescent="0.55000000000000004">
      <c r="B44" s="570" t="s">
        <v>84</v>
      </c>
      <c r="C44" s="571" t="s">
        <v>46</v>
      </c>
      <c r="D44" s="572" t="s">
        <v>136</v>
      </c>
      <c r="E44" s="573" t="s">
        <v>173</v>
      </c>
      <c r="F44" s="574">
        <v>11.2</v>
      </c>
      <c r="G44" s="571">
        <v>0.5</v>
      </c>
      <c r="H44" s="575">
        <v>0.5</v>
      </c>
      <c r="I44" s="574">
        <v>4123.5170995082062</v>
      </c>
      <c r="J44" s="574">
        <v>0</v>
      </c>
      <c r="K44" s="576">
        <v>0</v>
      </c>
      <c r="M44" s="577">
        <v>63.179000000000002</v>
      </c>
      <c r="N44" s="578">
        <v>24.015999999999998</v>
      </c>
      <c r="O44" s="579"/>
    </row>
    <row r="45" spans="2:15" x14ac:dyDescent="0.55000000000000004">
      <c r="B45" s="561" t="s">
        <v>85</v>
      </c>
      <c r="C45" s="562" t="s">
        <v>46</v>
      </c>
      <c r="D45" s="563" t="s">
        <v>136</v>
      </c>
      <c r="E45" s="564" t="s">
        <v>173</v>
      </c>
      <c r="F45" s="565">
        <v>4</v>
      </c>
      <c r="G45" s="562">
        <v>0.5</v>
      </c>
      <c r="H45" s="566">
        <v>0.5</v>
      </c>
      <c r="I45" s="565">
        <v>4081.5297136929789</v>
      </c>
      <c r="J45" s="565">
        <v>0</v>
      </c>
      <c r="K45" s="567">
        <v>0</v>
      </c>
      <c r="M45" s="568">
        <v>58.390999999999998</v>
      </c>
      <c r="N45" s="565">
        <v>21.518000000000001</v>
      </c>
      <c r="O45" s="569"/>
    </row>
    <row r="46" spans="2:15" x14ac:dyDescent="0.55000000000000004">
      <c r="B46" s="570" t="s">
        <v>86</v>
      </c>
      <c r="C46" s="571" t="s">
        <v>46</v>
      </c>
      <c r="D46" s="572" t="s">
        <v>136</v>
      </c>
      <c r="E46" s="573" t="s">
        <v>173</v>
      </c>
      <c r="F46" s="574">
        <v>7.8</v>
      </c>
      <c r="G46" s="571">
        <v>0.5</v>
      </c>
      <c r="H46" s="575">
        <v>0.5</v>
      </c>
      <c r="I46" s="574">
        <v>6144.6479626600149</v>
      </c>
      <c r="J46" s="574">
        <v>0</v>
      </c>
      <c r="K46" s="576">
        <v>0</v>
      </c>
      <c r="M46" s="577">
        <v>53.603000000000002</v>
      </c>
      <c r="N46" s="578">
        <v>19.021000000000001</v>
      </c>
      <c r="O46" s="579"/>
    </row>
    <row r="47" spans="2:15" x14ac:dyDescent="0.55000000000000004">
      <c r="B47" s="561" t="s">
        <v>87</v>
      </c>
      <c r="C47" s="562" t="s">
        <v>46</v>
      </c>
      <c r="D47" s="563" t="s">
        <v>136</v>
      </c>
      <c r="E47" s="564" t="s">
        <v>173</v>
      </c>
      <c r="F47" s="565">
        <v>4</v>
      </c>
      <c r="G47" s="562">
        <v>0.5</v>
      </c>
      <c r="H47" s="566">
        <v>0.5</v>
      </c>
      <c r="I47" s="565">
        <v>4081.5297136929789</v>
      </c>
      <c r="J47" s="565">
        <v>0</v>
      </c>
      <c r="K47" s="567">
        <v>0</v>
      </c>
      <c r="M47" s="568">
        <v>48.816000000000003</v>
      </c>
      <c r="N47" s="565">
        <v>16.523</v>
      </c>
      <c r="O47" s="569"/>
    </row>
    <row r="48" spans="2:15" x14ac:dyDescent="0.55000000000000004">
      <c r="B48" s="570" t="s">
        <v>88</v>
      </c>
      <c r="C48" s="571" t="s">
        <v>46</v>
      </c>
      <c r="D48" s="572" t="s">
        <v>136</v>
      </c>
      <c r="E48" s="573" t="s">
        <v>173</v>
      </c>
      <c r="F48" s="574">
        <v>7.8</v>
      </c>
      <c r="G48" s="571">
        <v>0.5</v>
      </c>
      <c r="H48" s="575">
        <v>0.5</v>
      </c>
      <c r="I48" s="574">
        <v>8098.2143312208054</v>
      </c>
      <c r="J48" s="574">
        <v>0</v>
      </c>
      <c r="K48" s="576">
        <v>0</v>
      </c>
      <c r="M48" s="577">
        <v>44.027999999999999</v>
      </c>
      <c r="N48" s="578">
        <v>14.025</v>
      </c>
      <c r="O48" s="579"/>
    </row>
    <row r="49" spans="2:15" x14ac:dyDescent="0.55000000000000004">
      <c r="B49" s="561" t="s">
        <v>89</v>
      </c>
      <c r="C49" s="562" t="s">
        <v>46</v>
      </c>
      <c r="D49" s="563" t="s">
        <v>136</v>
      </c>
      <c r="E49" s="564" t="s">
        <v>173</v>
      </c>
      <c r="F49" s="565">
        <v>4</v>
      </c>
      <c r="G49" s="562">
        <v>0.5</v>
      </c>
      <c r="H49" s="566">
        <v>0.5</v>
      </c>
      <c r="I49" s="565">
        <v>4916.0241492233263</v>
      </c>
      <c r="J49" s="565">
        <v>0</v>
      </c>
      <c r="K49" s="567">
        <v>0</v>
      </c>
      <c r="M49" s="568">
        <v>40.478000000000002</v>
      </c>
      <c r="N49" s="565">
        <v>12.173</v>
      </c>
      <c r="O49" s="569"/>
    </row>
    <row r="50" spans="2:15" x14ac:dyDescent="0.55000000000000004">
      <c r="B50" s="570" t="s">
        <v>90</v>
      </c>
      <c r="C50" s="571" t="s">
        <v>46</v>
      </c>
      <c r="D50" s="572" t="s">
        <v>136</v>
      </c>
      <c r="E50" s="573" t="s">
        <v>173</v>
      </c>
      <c r="F50" s="574">
        <v>4</v>
      </c>
      <c r="G50" s="571">
        <v>0.5</v>
      </c>
      <c r="H50" s="575">
        <v>0.5</v>
      </c>
      <c r="I50" s="574">
        <v>6197.4144643135096</v>
      </c>
      <c r="J50" s="574">
        <v>0</v>
      </c>
      <c r="K50" s="576">
        <v>0</v>
      </c>
      <c r="M50" s="577">
        <v>34.828000000000003</v>
      </c>
      <c r="N50" s="578">
        <v>12</v>
      </c>
      <c r="O50" s="579"/>
    </row>
    <row r="51" spans="2:15" x14ac:dyDescent="0.55000000000000004">
      <c r="B51" s="561" t="s">
        <v>91</v>
      </c>
      <c r="C51" s="562" t="s">
        <v>46</v>
      </c>
      <c r="D51" s="563" t="s">
        <v>136</v>
      </c>
      <c r="E51" s="564" t="s">
        <v>173</v>
      </c>
      <c r="F51" s="565">
        <v>4</v>
      </c>
      <c r="G51" s="562">
        <v>0.5</v>
      </c>
      <c r="H51" s="566">
        <v>0.5</v>
      </c>
      <c r="I51" s="565">
        <v>6439.6798813591031</v>
      </c>
      <c r="J51" s="565">
        <v>0</v>
      </c>
      <c r="K51" s="567">
        <v>0</v>
      </c>
      <c r="M51" s="568">
        <v>32.64</v>
      </c>
      <c r="N51" s="565">
        <v>12.118</v>
      </c>
      <c r="O51" s="569"/>
    </row>
    <row r="52" spans="2:15" x14ac:dyDescent="0.55000000000000004">
      <c r="B52" s="570" t="s">
        <v>92</v>
      </c>
      <c r="C52" s="571" t="s">
        <v>46</v>
      </c>
      <c r="D52" s="572" t="s">
        <v>136</v>
      </c>
      <c r="E52" s="573" t="s">
        <v>173</v>
      </c>
      <c r="F52" s="574">
        <v>4</v>
      </c>
      <c r="G52" s="571">
        <v>0.5</v>
      </c>
      <c r="H52" s="575">
        <v>0.5</v>
      </c>
      <c r="I52" s="574">
        <v>6264.0745601120034</v>
      </c>
      <c r="J52" s="574">
        <v>0</v>
      </c>
      <c r="K52" s="576">
        <v>0</v>
      </c>
      <c r="M52" s="577">
        <v>30.196000000000002</v>
      </c>
      <c r="N52" s="578">
        <v>15.348000000000001</v>
      </c>
      <c r="O52" s="579"/>
    </row>
    <row r="53" spans="2:15" x14ac:dyDescent="0.55000000000000004">
      <c r="B53" s="561" t="s">
        <v>93</v>
      </c>
      <c r="C53" s="562" t="s">
        <v>46</v>
      </c>
      <c r="D53" s="563" t="s">
        <v>136</v>
      </c>
      <c r="E53" s="564" t="s">
        <v>173</v>
      </c>
      <c r="F53" s="565">
        <v>4</v>
      </c>
      <c r="G53" s="562">
        <v>0.5</v>
      </c>
      <c r="H53" s="566">
        <v>0.5</v>
      </c>
      <c r="I53" s="565">
        <v>6196.2758367919914</v>
      </c>
      <c r="J53" s="565">
        <v>0</v>
      </c>
      <c r="K53" s="567">
        <v>0</v>
      </c>
      <c r="M53" s="568">
        <v>26.123999999999999</v>
      </c>
      <c r="N53" s="565">
        <v>20.731999999999999</v>
      </c>
      <c r="O53" s="569"/>
    </row>
    <row r="54" spans="2:15" x14ac:dyDescent="0.55000000000000004">
      <c r="B54" s="570" t="s">
        <v>94</v>
      </c>
      <c r="C54" s="571" t="s">
        <v>46</v>
      </c>
      <c r="D54" s="572" t="s">
        <v>136</v>
      </c>
      <c r="E54" s="573" t="s">
        <v>173</v>
      </c>
      <c r="F54" s="574">
        <v>4</v>
      </c>
      <c r="G54" s="571">
        <v>0.5</v>
      </c>
      <c r="H54" s="575">
        <v>0.5</v>
      </c>
      <c r="I54" s="574">
        <v>4420.7736046943683</v>
      </c>
      <c r="J54" s="574">
        <v>0</v>
      </c>
      <c r="K54" s="576">
        <v>0</v>
      </c>
      <c r="M54" s="577">
        <v>22.053000000000001</v>
      </c>
      <c r="N54" s="578">
        <v>26.114999999999998</v>
      </c>
      <c r="O54" s="579"/>
    </row>
    <row r="55" spans="2:15" x14ac:dyDescent="0.55000000000000004">
      <c r="B55" s="561" t="s">
        <v>95</v>
      </c>
      <c r="C55" s="562" t="s">
        <v>46</v>
      </c>
      <c r="D55" s="563" t="s">
        <v>136</v>
      </c>
      <c r="E55" s="564" t="s">
        <v>173</v>
      </c>
      <c r="F55" s="565">
        <v>4</v>
      </c>
      <c r="G55" s="562">
        <v>0.5</v>
      </c>
      <c r="H55" s="566">
        <v>0.5</v>
      </c>
      <c r="I55" s="565">
        <v>3774.4556760520941</v>
      </c>
      <c r="J55" s="565">
        <v>0</v>
      </c>
      <c r="K55" s="567">
        <v>0</v>
      </c>
      <c r="M55" s="568">
        <v>17.981000000000002</v>
      </c>
      <c r="N55" s="565">
        <v>31.498999999999999</v>
      </c>
      <c r="O55" s="569"/>
    </row>
    <row r="56" spans="2:15" x14ac:dyDescent="0.55000000000000004">
      <c r="B56" s="570" t="s">
        <v>96</v>
      </c>
      <c r="C56" s="571" t="s">
        <v>46</v>
      </c>
      <c r="D56" s="572" t="s">
        <v>136</v>
      </c>
      <c r="E56" s="573" t="s">
        <v>173</v>
      </c>
      <c r="F56" s="574">
        <v>4</v>
      </c>
      <c r="G56" s="571">
        <v>0.5</v>
      </c>
      <c r="H56" s="575">
        <v>0.5</v>
      </c>
      <c r="I56" s="574">
        <v>3416.546924194337</v>
      </c>
      <c r="J56" s="574">
        <v>0</v>
      </c>
      <c r="K56" s="576">
        <v>0</v>
      </c>
      <c r="M56" s="577">
        <v>14.723000000000001</v>
      </c>
      <c r="N56" s="578">
        <v>35.805999999999997</v>
      </c>
      <c r="O56" s="579"/>
    </row>
    <row r="57" spans="2:15" x14ac:dyDescent="0.55000000000000004">
      <c r="B57" s="561" t="s">
        <v>97</v>
      </c>
      <c r="C57" s="562" t="s">
        <v>46</v>
      </c>
      <c r="D57" s="563" t="s">
        <v>136</v>
      </c>
      <c r="E57" s="564" t="s">
        <v>173</v>
      </c>
      <c r="F57" s="565">
        <v>4</v>
      </c>
      <c r="G57" s="562">
        <v>0.5</v>
      </c>
      <c r="H57" s="566">
        <v>0.5</v>
      </c>
      <c r="I57" s="565">
        <v>4619.3091971969607</v>
      </c>
      <c r="J57" s="565">
        <v>0</v>
      </c>
      <c r="K57" s="567">
        <v>0</v>
      </c>
      <c r="M57" s="568">
        <v>13.196</v>
      </c>
      <c r="N57" s="565">
        <v>37.823999999999998</v>
      </c>
      <c r="O57" s="569"/>
    </row>
    <row r="58" spans="2:15" x14ac:dyDescent="0.55000000000000004">
      <c r="B58" s="570" t="s">
        <v>98</v>
      </c>
      <c r="C58" s="571" t="s">
        <v>46</v>
      </c>
      <c r="D58" s="572" t="s">
        <v>136</v>
      </c>
      <c r="E58" s="573" t="s">
        <v>173</v>
      </c>
      <c r="F58" s="574">
        <v>4</v>
      </c>
      <c r="G58" s="571">
        <v>0.5</v>
      </c>
      <c r="H58" s="575">
        <v>0.5</v>
      </c>
      <c r="I58" s="574">
        <v>3668.5396215934784</v>
      </c>
      <c r="J58" s="574">
        <v>0</v>
      </c>
      <c r="K58" s="576">
        <v>0</v>
      </c>
      <c r="M58" s="577">
        <v>13.196</v>
      </c>
      <c r="N58" s="578">
        <v>41.707000000000001</v>
      </c>
      <c r="O58" s="579"/>
    </row>
    <row r="59" spans="2:15" x14ac:dyDescent="0.55000000000000004">
      <c r="B59" s="561" t="s">
        <v>99</v>
      </c>
      <c r="C59" s="562" t="s">
        <v>46</v>
      </c>
      <c r="D59" s="563" t="s">
        <v>136</v>
      </c>
      <c r="E59" s="564" t="s">
        <v>173</v>
      </c>
      <c r="F59" s="565">
        <v>7.8</v>
      </c>
      <c r="G59" s="562">
        <v>0.5</v>
      </c>
      <c r="H59" s="566">
        <v>0.5</v>
      </c>
      <c r="I59" s="565">
        <v>4918.1496809676355</v>
      </c>
      <c r="J59" s="565">
        <v>0</v>
      </c>
      <c r="K59" s="567">
        <v>0</v>
      </c>
      <c r="M59" s="568">
        <v>13.196</v>
      </c>
      <c r="N59" s="565">
        <v>47.106999999999999</v>
      </c>
      <c r="O59" s="569"/>
    </row>
    <row r="60" spans="2:15" x14ac:dyDescent="0.55000000000000004">
      <c r="B60" s="570" t="s">
        <v>100</v>
      </c>
      <c r="C60" s="571" t="s">
        <v>46</v>
      </c>
      <c r="D60" s="572" t="s">
        <v>136</v>
      </c>
      <c r="E60" s="573" t="s">
        <v>173</v>
      </c>
      <c r="F60" s="574">
        <v>7.8</v>
      </c>
      <c r="G60" s="571">
        <v>0.5</v>
      </c>
      <c r="H60" s="575">
        <v>0.5</v>
      </c>
      <c r="I60" s="574">
        <v>5224.0085414412652</v>
      </c>
      <c r="J60" s="574">
        <v>0</v>
      </c>
      <c r="K60" s="576">
        <v>0</v>
      </c>
      <c r="M60" s="577">
        <v>13.196</v>
      </c>
      <c r="N60" s="578">
        <v>52.506999999999998</v>
      </c>
      <c r="O60" s="579"/>
    </row>
    <row r="61" spans="2:15" x14ac:dyDescent="0.55000000000000004">
      <c r="B61" s="561" t="s">
        <v>101</v>
      </c>
      <c r="C61" s="562" t="s">
        <v>46</v>
      </c>
      <c r="D61" s="563" t="s">
        <v>136</v>
      </c>
      <c r="E61" s="564" t="s">
        <v>173</v>
      </c>
      <c r="F61" s="565">
        <v>7.8</v>
      </c>
      <c r="G61" s="562">
        <v>0.5</v>
      </c>
      <c r="H61" s="566">
        <v>0.5</v>
      </c>
      <c r="I61" s="565">
        <v>4792.4012312606019</v>
      </c>
      <c r="J61" s="565">
        <v>0</v>
      </c>
      <c r="K61" s="567">
        <v>0</v>
      </c>
      <c r="M61" s="568">
        <v>13.196</v>
      </c>
      <c r="N61" s="565">
        <v>57.906999999999996</v>
      </c>
      <c r="O61" s="569"/>
    </row>
    <row r="62" spans="2:15" x14ac:dyDescent="0.55000000000000004">
      <c r="B62" s="570" t="s">
        <v>102</v>
      </c>
      <c r="C62" s="571" t="s">
        <v>46</v>
      </c>
      <c r="D62" s="572" t="s">
        <v>136</v>
      </c>
      <c r="E62" s="573" t="s">
        <v>173</v>
      </c>
      <c r="F62" s="574">
        <v>7.8</v>
      </c>
      <c r="G62" s="571">
        <v>0.5</v>
      </c>
      <c r="H62" s="575">
        <v>0.5</v>
      </c>
      <c r="I62" s="574">
        <v>5398.20476367027</v>
      </c>
      <c r="J62" s="574">
        <v>0</v>
      </c>
      <c r="K62" s="576">
        <v>0</v>
      </c>
      <c r="M62" s="577">
        <v>13.196</v>
      </c>
      <c r="N62" s="578">
        <v>63.307000000000002</v>
      </c>
      <c r="O62" s="579"/>
    </row>
    <row r="63" spans="2:15" x14ac:dyDescent="0.55000000000000004">
      <c r="B63" s="561" t="s">
        <v>103</v>
      </c>
      <c r="C63" s="562" t="s">
        <v>46</v>
      </c>
      <c r="D63" s="563" t="s">
        <v>136</v>
      </c>
      <c r="E63" s="564" t="s">
        <v>173</v>
      </c>
      <c r="F63" s="565">
        <v>4</v>
      </c>
      <c r="G63" s="562">
        <v>0.5</v>
      </c>
      <c r="H63" s="566">
        <v>0.5</v>
      </c>
      <c r="I63" s="565">
        <v>5657.4504714431814</v>
      </c>
      <c r="J63" s="565">
        <v>0</v>
      </c>
      <c r="K63" s="567">
        <v>0</v>
      </c>
      <c r="M63" s="568">
        <v>13.196</v>
      </c>
      <c r="N63" s="565">
        <v>68.206999999999994</v>
      </c>
      <c r="O63" s="569"/>
    </row>
    <row r="64" spans="2:15" x14ac:dyDescent="0.55000000000000004">
      <c r="B64" s="570" t="s">
        <v>104</v>
      </c>
      <c r="C64" s="571" t="s">
        <v>46</v>
      </c>
      <c r="D64" s="572" t="s">
        <v>136</v>
      </c>
      <c r="E64" s="573" t="s">
        <v>173</v>
      </c>
      <c r="F64" s="574">
        <v>4</v>
      </c>
      <c r="G64" s="571">
        <v>0.5</v>
      </c>
      <c r="H64" s="575">
        <v>0.5</v>
      </c>
      <c r="I64" s="574">
        <v>6049.7690612640381</v>
      </c>
      <c r="J64" s="574">
        <v>0</v>
      </c>
      <c r="K64" s="576">
        <v>0</v>
      </c>
      <c r="M64" s="577">
        <v>18.096</v>
      </c>
      <c r="N64" s="578">
        <v>68.206999999999994</v>
      </c>
      <c r="O64" s="579"/>
    </row>
    <row r="65" spans="2:15" x14ac:dyDescent="0.55000000000000004">
      <c r="B65" s="561" t="s">
        <v>105</v>
      </c>
      <c r="C65" s="562" t="s">
        <v>46</v>
      </c>
      <c r="D65" s="563" t="s">
        <v>136</v>
      </c>
      <c r="E65" s="564" t="s">
        <v>173</v>
      </c>
      <c r="F65" s="565">
        <v>4</v>
      </c>
      <c r="G65" s="562">
        <v>0.5</v>
      </c>
      <c r="H65" s="566">
        <v>0.5</v>
      </c>
      <c r="I65" s="565">
        <v>4054.3991419801714</v>
      </c>
      <c r="J65" s="565">
        <v>0</v>
      </c>
      <c r="K65" s="567">
        <v>0</v>
      </c>
      <c r="M65" s="568">
        <v>23.495999999999999</v>
      </c>
      <c r="N65" s="565">
        <v>68.206999999999994</v>
      </c>
      <c r="O65" s="569"/>
    </row>
    <row r="66" spans="2:15" x14ac:dyDescent="0.55000000000000004">
      <c r="B66" s="570" t="s">
        <v>106</v>
      </c>
      <c r="C66" s="571" t="s">
        <v>46</v>
      </c>
      <c r="D66" s="572" t="s">
        <v>136</v>
      </c>
      <c r="E66" s="573" t="s">
        <v>173</v>
      </c>
      <c r="F66" s="574">
        <v>4</v>
      </c>
      <c r="G66" s="571">
        <v>0.5</v>
      </c>
      <c r="H66" s="575">
        <v>0.5</v>
      </c>
      <c r="I66" s="574">
        <v>3639.6126531772638</v>
      </c>
      <c r="J66" s="574">
        <v>0</v>
      </c>
      <c r="K66" s="576">
        <v>0</v>
      </c>
      <c r="M66" s="577">
        <v>28.896000000000001</v>
      </c>
      <c r="N66" s="578">
        <v>68.206999999999994</v>
      </c>
      <c r="O66" s="579"/>
    </row>
    <row r="67" spans="2:15" x14ac:dyDescent="0.55000000000000004">
      <c r="B67" s="561" t="s">
        <v>107</v>
      </c>
      <c r="C67" s="562" t="s">
        <v>46</v>
      </c>
      <c r="D67" s="563" t="s">
        <v>136</v>
      </c>
      <c r="E67" s="564" t="s">
        <v>173</v>
      </c>
      <c r="F67" s="565">
        <v>4</v>
      </c>
      <c r="G67" s="562">
        <v>0.5</v>
      </c>
      <c r="H67" s="566">
        <v>0.5</v>
      </c>
      <c r="I67" s="565">
        <v>5970.1155148201005</v>
      </c>
      <c r="J67" s="565">
        <v>0</v>
      </c>
      <c r="K67" s="567">
        <v>0</v>
      </c>
      <c r="M67" s="568">
        <v>34.295999999999999</v>
      </c>
      <c r="N67" s="565">
        <v>68.206999999999994</v>
      </c>
      <c r="O67" s="569"/>
    </row>
    <row r="68" spans="2:15" x14ac:dyDescent="0.55000000000000004">
      <c r="B68" s="570" t="s">
        <v>108</v>
      </c>
      <c r="C68" s="571" t="s">
        <v>46</v>
      </c>
      <c r="D68" s="572" t="s">
        <v>136</v>
      </c>
      <c r="E68" s="573" t="s">
        <v>173</v>
      </c>
      <c r="F68" s="574">
        <v>4</v>
      </c>
      <c r="G68" s="571">
        <v>0.5</v>
      </c>
      <c r="H68" s="575">
        <v>0.5</v>
      </c>
      <c r="I68" s="574">
        <v>6132.5857979564717</v>
      </c>
      <c r="J68" s="574">
        <v>0</v>
      </c>
      <c r="K68" s="576">
        <v>0</v>
      </c>
      <c r="M68" s="577">
        <v>39.695999999999998</v>
      </c>
      <c r="N68" s="578">
        <v>68.206999999999994</v>
      </c>
      <c r="O68" s="579"/>
    </row>
    <row r="69" spans="2:15" x14ac:dyDescent="0.55000000000000004">
      <c r="B69" s="561" t="s">
        <v>109</v>
      </c>
      <c r="C69" s="562" t="s">
        <v>46</v>
      </c>
      <c r="D69" s="563" t="s">
        <v>136</v>
      </c>
      <c r="E69" s="564" t="s">
        <v>173</v>
      </c>
      <c r="F69" s="565">
        <v>4</v>
      </c>
      <c r="G69" s="562">
        <v>0.5</v>
      </c>
      <c r="H69" s="566">
        <v>0.5</v>
      </c>
      <c r="I69" s="565">
        <v>6305.8151574096692</v>
      </c>
      <c r="J69" s="565">
        <v>0</v>
      </c>
      <c r="K69" s="567">
        <v>0</v>
      </c>
      <c r="M69" s="568">
        <v>45.095999999999997</v>
      </c>
      <c r="N69" s="565">
        <v>68.206999999999994</v>
      </c>
      <c r="O69" s="569"/>
    </row>
    <row r="70" spans="2:15" x14ac:dyDescent="0.55000000000000004">
      <c r="B70" s="570" t="s">
        <v>110</v>
      </c>
      <c r="C70" s="571" t="s">
        <v>46</v>
      </c>
      <c r="D70" s="572" t="s">
        <v>136</v>
      </c>
      <c r="E70" s="573" t="s">
        <v>173</v>
      </c>
      <c r="F70" s="574">
        <v>4</v>
      </c>
      <c r="G70" s="571">
        <v>0.5</v>
      </c>
      <c r="H70" s="575">
        <v>0.5</v>
      </c>
      <c r="I70" s="574">
        <v>3928.1304672775295</v>
      </c>
      <c r="J70" s="574">
        <v>0</v>
      </c>
      <c r="K70" s="576">
        <v>0</v>
      </c>
      <c r="M70" s="577">
        <v>50.496000000000002</v>
      </c>
      <c r="N70" s="578">
        <v>68.206999999999994</v>
      </c>
      <c r="O70" s="579"/>
    </row>
    <row r="71" spans="2:15" x14ac:dyDescent="0.55000000000000004">
      <c r="B71" s="561" t="s">
        <v>111</v>
      </c>
      <c r="C71" s="562" t="s">
        <v>46</v>
      </c>
      <c r="D71" s="563" t="s">
        <v>136</v>
      </c>
      <c r="E71" s="564" t="s">
        <v>173</v>
      </c>
      <c r="F71" s="565">
        <v>4</v>
      </c>
      <c r="G71" s="562">
        <v>0.5</v>
      </c>
      <c r="H71" s="566">
        <v>0.5</v>
      </c>
      <c r="I71" s="565">
        <v>4559.8518506898899</v>
      </c>
      <c r="J71" s="565">
        <v>0</v>
      </c>
      <c r="K71" s="567">
        <v>0</v>
      </c>
      <c r="M71" s="568">
        <v>55.896000000000001</v>
      </c>
      <c r="N71" s="565">
        <v>68.206999999999994</v>
      </c>
      <c r="O71" s="569"/>
    </row>
    <row r="72" spans="2:15" x14ac:dyDescent="0.55000000000000004">
      <c r="B72" s="583" t="s">
        <v>112</v>
      </c>
      <c r="C72" s="584" t="s">
        <v>46</v>
      </c>
      <c r="D72" s="585" t="s">
        <v>136</v>
      </c>
      <c r="E72" s="586" t="s">
        <v>173</v>
      </c>
      <c r="F72" s="587">
        <v>11.9</v>
      </c>
      <c r="G72" s="584">
        <v>0.5</v>
      </c>
      <c r="H72" s="588">
        <v>0.5</v>
      </c>
      <c r="I72" s="587">
        <v>6869.2487185568007</v>
      </c>
      <c r="J72" s="587">
        <v>0</v>
      </c>
      <c r="K72" s="589">
        <v>0</v>
      </c>
      <c r="M72" s="581">
        <v>38.807000000000002</v>
      </c>
      <c r="N72" s="590">
        <v>26.922999999999998</v>
      </c>
      <c r="O72" s="591"/>
    </row>
    <row r="73" spans="2:15" x14ac:dyDescent="0.55000000000000004">
      <c r="B73" s="592" t="s">
        <v>45</v>
      </c>
      <c r="C73" s="593" t="s">
        <v>113</v>
      </c>
      <c r="D73" s="594" t="s">
        <v>136</v>
      </c>
      <c r="E73" s="595" t="s">
        <v>173</v>
      </c>
      <c r="F73" s="596">
        <v>3.5999999999999996</v>
      </c>
      <c r="G73" s="593">
        <v>0.5</v>
      </c>
      <c r="H73" s="597">
        <v>0.5</v>
      </c>
      <c r="I73" s="596">
        <v>4081.5297136929789</v>
      </c>
      <c r="J73" s="596">
        <v>0</v>
      </c>
      <c r="K73" s="598">
        <v>0</v>
      </c>
      <c r="M73" s="568">
        <v>61.56</v>
      </c>
      <c r="N73" s="599">
        <v>38.792999999999999</v>
      </c>
      <c r="O73" s="569"/>
    </row>
    <row r="74" spans="2:15" x14ac:dyDescent="0.55000000000000004">
      <c r="B74" s="570" t="s">
        <v>50</v>
      </c>
      <c r="C74" s="571" t="s">
        <v>113</v>
      </c>
      <c r="D74" s="572" t="s">
        <v>136</v>
      </c>
      <c r="E74" s="573" t="s">
        <v>173</v>
      </c>
      <c r="F74" s="574">
        <v>8.3000000000000007</v>
      </c>
      <c r="G74" s="571">
        <v>0.5</v>
      </c>
      <c r="H74" s="575">
        <v>0.5</v>
      </c>
      <c r="I74" s="574">
        <v>4774.3053671890257</v>
      </c>
      <c r="J74" s="574">
        <v>0</v>
      </c>
      <c r="K74" s="576">
        <v>0</v>
      </c>
      <c r="M74" s="577">
        <v>47.197000000000003</v>
      </c>
      <c r="N74" s="600">
        <v>31.3</v>
      </c>
      <c r="O74" s="579"/>
    </row>
    <row r="75" spans="2:15" x14ac:dyDescent="0.55000000000000004">
      <c r="B75" s="561" t="s">
        <v>51</v>
      </c>
      <c r="C75" s="562" t="s">
        <v>113</v>
      </c>
      <c r="D75" s="563" t="s">
        <v>136</v>
      </c>
      <c r="E75" s="564" t="s">
        <v>173</v>
      </c>
      <c r="F75" s="565">
        <v>8.3000000000000007</v>
      </c>
      <c r="G75" s="562">
        <v>0.5</v>
      </c>
      <c r="H75" s="566">
        <v>0.5</v>
      </c>
      <c r="I75" s="565">
        <v>2869.1975343185418</v>
      </c>
      <c r="J75" s="565">
        <v>0</v>
      </c>
      <c r="K75" s="567">
        <v>0</v>
      </c>
      <c r="M75" s="568">
        <v>42.408999999999999</v>
      </c>
      <c r="N75" s="599">
        <v>28.802</v>
      </c>
      <c r="O75" s="569"/>
    </row>
    <row r="76" spans="2:15" x14ac:dyDescent="0.55000000000000004">
      <c r="B76" s="570" t="s">
        <v>52</v>
      </c>
      <c r="C76" s="571" t="s">
        <v>113</v>
      </c>
      <c r="D76" s="572" t="s">
        <v>136</v>
      </c>
      <c r="E76" s="573" t="s">
        <v>173</v>
      </c>
      <c r="F76" s="574">
        <v>8.3000000000000007</v>
      </c>
      <c r="G76" s="571">
        <v>0.5</v>
      </c>
      <c r="H76" s="575">
        <v>0.5</v>
      </c>
      <c r="I76" s="574">
        <v>2840.8505740982027</v>
      </c>
      <c r="J76" s="574">
        <v>0</v>
      </c>
      <c r="K76" s="576">
        <v>0</v>
      </c>
      <c r="M76" s="577">
        <v>37.170999999999999</v>
      </c>
      <c r="N76" s="600">
        <v>29.087</v>
      </c>
      <c r="O76" s="579"/>
    </row>
    <row r="77" spans="2:15" x14ac:dyDescent="0.55000000000000004">
      <c r="B77" s="561" t="s">
        <v>53</v>
      </c>
      <c r="C77" s="562" t="s">
        <v>113</v>
      </c>
      <c r="D77" s="563" t="s">
        <v>136</v>
      </c>
      <c r="E77" s="564" t="s">
        <v>173</v>
      </c>
      <c r="F77" s="565">
        <v>8.3000000000000007</v>
      </c>
      <c r="G77" s="562">
        <v>0.5</v>
      </c>
      <c r="H77" s="566">
        <v>0.5</v>
      </c>
      <c r="I77" s="565">
        <v>2887.6283711868268</v>
      </c>
      <c r="J77" s="565">
        <v>0</v>
      </c>
      <c r="K77" s="567">
        <v>0</v>
      </c>
      <c r="M77" s="568">
        <v>33.098999999999997</v>
      </c>
      <c r="N77" s="599">
        <v>34.47</v>
      </c>
      <c r="O77" s="569"/>
    </row>
    <row r="78" spans="2:15" x14ac:dyDescent="0.55000000000000004">
      <c r="B78" s="570" t="s">
        <v>54</v>
      </c>
      <c r="C78" s="571" t="s">
        <v>113</v>
      </c>
      <c r="D78" s="572" t="s">
        <v>136</v>
      </c>
      <c r="E78" s="573" t="s">
        <v>173</v>
      </c>
      <c r="F78" s="574">
        <v>3.5999999999999996</v>
      </c>
      <c r="G78" s="571">
        <v>0.5</v>
      </c>
      <c r="H78" s="575">
        <v>0.5</v>
      </c>
      <c r="I78" s="574">
        <v>2955.0453920745863</v>
      </c>
      <c r="J78" s="574">
        <v>85.5</v>
      </c>
      <c r="K78" s="576">
        <v>0</v>
      </c>
      <c r="M78" s="577">
        <v>27.045999999999999</v>
      </c>
      <c r="N78" s="600">
        <v>47.106999999999999</v>
      </c>
      <c r="O78" s="579"/>
    </row>
    <row r="79" spans="2:15" x14ac:dyDescent="0.55000000000000004">
      <c r="B79" s="561" t="s">
        <v>56</v>
      </c>
      <c r="C79" s="562" t="s">
        <v>113</v>
      </c>
      <c r="D79" s="563" t="s">
        <v>136</v>
      </c>
      <c r="E79" s="564" t="s">
        <v>173</v>
      </c>
      <c r="F79" s="565">
        <v>3.5999999999999996</v>
      </c>
      <c r="G79" s="562">
        <v>0.5</v>
      </c>
      <c r="H79" s="566">
        <v>0.5</v>
      </c>
      <c r="I79" s="565">
        <v>2968.6139330291758</v>
      </c>
      <c r="J79" s="565">
        <v>85.5</v>
      </c>
      <c r="K79" s="567">
        <v>0</v>
      </c>
      <c r="M79" s="568">
        <v>27.045999999999999</v>
      </c>
      <c r="N79" s="599">
        <v>52.506999999999998</v>
      </c>
      <c r="O79" s="569"/>
    </row>
    <row r="80" spans="2:15" x14ac:dyDescent="0.55000000000000004">
      <c r="B80" s="570" t="s">
        <v>57</v>
      </c>
      <c r="C80" s="571" t="s">
        <v>113</v>
      </c>
      <c r="D80" s="572" t="s">
        <v>136</v>
      </c>
      <c r="E80" s="573" t="s">
        <v>173</v>
      </c>
      <c r="F80" s="574">
        <v>3.5999999999999996</v>
      </c>
      <c r="G80" s="571">
        <v>0.5</v>
      </c>
      <c r="H80" s="575">
        <v>0.5</v>
      </c>
      <c r="I80" s="574">
        <v>3169.3314152526882</v>
      </c>
      <c r="J80" s="574">
        <v>112.5</v>
      </c>
      <c r="K80" s="576">
        <v>0</v>
      </c>
      <c r="M80" s="577">
        <v>28.896000000000001</v>
      </c>
      <c r="N80" s="600">
        <v>54.356999999999999</v>
      </c>
      <c r="O80" s="579"/>
    </row>
    <row r="81" spans="2:15" x14ac:dyDescent="0.55000000000000004">
      <c r="B81" s="561" t="s">
        <v>58</v>
      </c>
      <c r="C81" s="562" t="s">
        <v>113</v>
      </c>
      <c r="D81" s="563" t="s">
        <v>136</v>
      </c>
      <c r="E81" s="564" t="s">
        <v>173</v>
      </c>
      <c r="F81" s="565">
        <v>3.5999999999999996</v>
      </c>
      <c r="G81" s="562">
        <v>0.5</v>
      </c>
      <c r="H81" s="566">
        <v>0.5</v>
      </c>
      <c r="I81" s="565">
        <v>3342.5035503387467</v>
      </c>
      <c r="J81" s="565">
        <v>112.5</v>
      </c>
      <c r="K81" s="567">
        <v>0</v>
      </c>
      <c r="M81" s="568">
        <v>34.295999999999999</v>
      </c>
      <c r="N81" s="599">
        <v>54.356999999999999</v>
      </c>
      <c r="O81" s="569"/>
    </row>
    <row r="82" spans="2:15" x14ac:dyDescent="0.55000000000000004">
      <c r="B82" s="570" t="s">
        <v>59</v>
      </c>
      <c r="C82" s="571" t="s">
        <v>113</v>
      </c>
      <c r="D82" s="572" t="s">
        <v>136</v>
      </c>
      <c r="E82" s="573" t="s">
        <v>173</v>
      </c>
      <c r="F82" s="574">
        <v>3.5999999999999996</v>
      </c>
      <c r="G82" s="571">
        <v>0.5</v>
      </c>
      <c r="H82" s="575">
        <v>0.5</v>
      </c>
      <c r="I82" s="574">
        <v>3250.0222840118422</v>
      </c>
      <c r="J82" s="574">
        <v>112.5</v>
      </c>
      <c r="K82" s="576">
        <v>0</v>
      </c>
      <c r="M82" s="577">
        <v>50.496000000000002</v>
      </c>
      <c r="N82" s="600">
        <v>54.356999999999999</v>
      </c>
      <c r="O82" s="579"/>
    </row>
    <row r="83" spans="2:15" x14ac:dyDescent="0.55000000000000004">
      <c r="B83" s="561" t="s">
        <v>60</v>
      </c>
      <c r="C83" s="562" t="s">
        <v>113</v>
      </c>
      <c r="D83" s="563" t="s">
        <v>136</v>
      </c>
      <c r="E83" s="564" t="s">
        <v>173</v>
      </c>
      <c r="F83" s="565">
        <v>3.5999999999999996</v>
      </c>
      <c r="G83" s="562">
        <v>0.5</v>
      </c>
      <c r="H83" s="566">
        <v>0.5</v>
      </c>
      <c r="I83" s="565">
        <v>3440.8982096099844</v>
      </c>
      <c r="J83" s="565">
        <v>85.5</v>
      </c>
      <c r="K83" s="567">
        <v>0</v>
      </c>
      <c r="M83" s="568">
        <v>55.896000000000001</v>
      </c>
      <c r="N83" s="599">
        <v>54.356999999999999</v>
      </c>
      <c r="O83" s="569"/>
    </row>
    <row r="84" spans="2:15" x14ac:dyDescent="0.55000000000000004">
      <c r="B84" s="570" t="s">
        <v>61</v>
      </c>
      <c r="C84" s="571" t="s">
        <v>113</v>
      </c>
      <c r="D84" s="572" t="s">
        <v>136</v>
      </c>
      <c r="E84" s="573" t="s">
        <v>173</v>
      </c>
      <c r="F84" s="574">
        <v>3.5999999999999996</v>
      </c>
      <c r="G84" s="571">
        <v>0.5</v>
      </c>
      <c r="H84" s="575">
        <v>0.5</v>
      </c>
      <c r="I84" s="574">
        <v>2310.6572852897648</v>
      </c>
      <c r="J84" s="574">
        <v>85.5</v>
      </c>
      <c r="K84" s="576">
        <v>85.5</v>
      </c>
      <c r="M84" s="577">
        <v>55.896000000000001</v>
      </c>
      <c r="N84" s="600">
        <v>61.921999999999997</v>
      </c>
      <c r="O84" s="579"/>
    </row>
    <row r="85" spans="2:15" x14ac:dyDescent="0.55000000000000004">
      <c r="B85" s="561" t="s">
        <v>62</v>
      </c>
      <c r="C85" s="562" t="s">
        <v>113</v>
      </c>
      <c r="D85" s="563" t="s">
        <v>136</v>
      </c>
      <c r="E85" s="564" t="s">
        <v>173</v>
      </c>
      <c r="F85" s="565">
        <v>7.8</v>
      </c>
      <c r="G85" s="562">
        <v>0.5</v>
      </c>
      <c r="H85" s="566">
        <v>0.5</v>
      </c>
      <c r="I85" s="565">
        <v>3801.0948917786886</v>
      </c>
      <c r="J85" s="565">
        <v>0</v>
      </c>
      <c r="K85" s="567">
        <v>0</v>
      </c>
      <c r="M85" s="568">
        <v>50.496000000000002</v>
      </c>
      <c r="N85" s="599">
        <v>61.921999999999997</v>
      </c>
      <c r="O85" s="569"/>
    </row>
    <row r="86" spans="2:15" x14ac:dyDescent="0.55000000000000004">
      <c r="B86" s="570" t="s">
        <v>63</v>
      </c>
      <c r="C86" s="571" t="s">
        <v>113</v>
      </c>
      <c r="D86" s="572" t="s">
        <v>136</v>
      </c>
      <c r="E86" s="573" t="s">
        <v>173</v>
      </c>
      <c r="F86" s="574">
        <v>7.8</v>
      </c>
      <c r="G86" s="571">
        <v>0.5</v>
      </c>
      <c r="H86" s="575">
        <v>0.5</v>
      </c>
      <c r="I86" s="574">
        <v>2838.9119428269673</v>
      </c>
      <c r="J86" s="574">
        <v>0</v>
      </c>
      <c r="K86" s="576">
        <v>0</v>
      </c>
      <c r="M86" s="577">
        <v>45.095999999999997</v>
      </c>
      <c r="N86" s="600">
        <v>61.921999999999997</v>
      </c>
      <c r="O86" s="579"/>
    </row>
    <row r="87" spans="2:15" x14ac:dyDescent="0.55000000000000004">
      <c r="B87" s="561" t="s">
        <v>64</v>
      </c>
      <c r="C87" s="562" t="s">
        <v>113</v>
      </c>
      <c r="D87" s="563" t="s">
        <v>136</v>
      </c>
      <c r="E87" s="564" t="s">
        <v>173</v>
      </c>
      <c r="F87" s="565">
        <v>7.8</v>
      </c>
      <c r="G87" s="562">
        <v>0.5</v>
      </c>
      <c r="H87" s="566">
        <v>0.5</v>
      </c>
      <c r="I87" s="565">
        <v>3042.8483727280905</v>
      </c>
      <c r="J87" s="565">
        <v>0</v>
      </c>
      <c r="K87" s="567">
        <v>0</v>
      </c>
      <c r="M87" s="568">
        <v>39.695999999999998</v>
      </c>
      <c r="N87" s="599">
        <v>61.921999999999997</v>
      </c>
      <c r="O87" s="569"/>
    </row>
    <row r="88" spans="2:15" x14ac:dyDescent="0.55000000000000004">
      <c r="B88" s="570" t="s">
        <v>65</v>
      </c>
      <c r="C88" s="571" t="s">
        <v>113</v>
      </c>
      <c r="D88" s="572" t="s">
        <v>136</v>
      </c>
      <c r="E88" s="573" t="s">
        <v>173</v>
      </c>
      <c r="F88" s="574">
        <v>7.8</v>
      </c>
      <c r="G88" s="571">
        <v>0.5</v>
      </c>
      <c r="H88" s="575">
        <v>0.5</v>
      </c>
      <c r="I88" s="574">
        <v>2935.2811827866822</v>
      </c>
      <c r="J88" s="574">
        <v>0</v>
      </c>
      <c r="K88" s="576">
        <v>0</v>
      </c>
      <c r="M88" s="577">
        <v>34.295999999999999</v>
      </c>
      <c r="N88" s="600">
        <v>61.921999999999997</v>
      </c>
      <c r="O88" s="579"/>
    </row>
    <row r="89" spans="2:15" x14ac:dyDescent="0.55000000000000004">
      <c r="B89" s="561" t="s">
        <v>66</v>
      </c>
      <c r="C89" s="562" t="s">
        <v>113</v>
      </c>
      <c r="D89" s="563" t="s">
        <v>136</v>
      </c>
      <c r="E89" s="564" t="s">
        <v>173</v>
      </c>
      <c r="F89" s="565">
        <v>7.8</v>
      </c>
      <c r="G89" s="562">
        <v>0.5</v>
      </c>
      <c r="H89" s="566">
        <v>0.5</v>
      </c>
      <c r="I89" s="565">
        <v>3945.3104395310675</v>
      </c>
      <c r="J89" s="565">
        <v>0</v>
      </c>
      <c r="K89" s="567">
        <v>0</v>
      </c>
      <c r="M89" s="568">
        <v>28.896000000000001</v>
      </c>
      <c r="N89" s="599">
        <v>61.921999999999997</v>
      </c>
      <c r="O89" s="569"/>
    </row>
    <row r="90" spans="2:15" x14ac:dyDescent="0.55000000000000004">
      <c r="B90" s="570" t="s">
        <v>67</v>
      </c>
      <c r="C90" s="571" t="s">
        <v>113</v>
      </c>
      <c r="D90" s="572" t="s">
        <v>136</v>
      </c>
      <c r="E90" s="573" t="s">
        <v>173</v>
      </c>
      <c r="F90" s="574">
        <v>3.5999999999999996</v>
      </c>
      <c r="G90" s="571">
        <v>0.5</v>
      </c>
      <c r="H90" s="575">
        <v>0.5</v>
      </c>
      <c r="I90" s="574">
        <v>3230.8376300811778</v>
      </c>
      <c r="J90" s="574">
        <v>0</v>
      </c>
      <c r="K90" s="576">
        <v>85.5</v>
      </c>
      <c r="M90" s="577">
        <v>23.495999999999999</v>
      </c>
      <c r="N90" s="600">
        <v>61.921999999999997</v>
      </c>
      <c r="O90" s="579"/>
    </row>
    <row r="91" spans="2:15" x14ac:dyDescent="0.55000000000000004">
      <c r="B91" s="561" t="s">
        <v>68</v>
      </c>
      <c r="C91" s="562" t="s">
        <v>113</v>
      </c>
      <c r="D91" s="563" t="s">
        <v>136</v>
      </c>
      <c r="E91" s="564" t="s">
        <v>173</v>
      </c>
      <c r="F91" s="565">
        <v>3.5999999999999996</v>
      </c>
      <c r="G91" s="562">
        <v>0.5</v>
      </c>
      <c r="H91" s="566">
        <v>0.5</v>
      </c>
      <c r="I91" s="565">
        <v>3761.6399336242698</v>
      </c>
      <c r="J91" s="565">
        <v>0</v>
      </c>
      <c r="K91" s="567">
        <v>112.5</v>
      </c>
      <c r="M91" s="568">
        <v>19.481000000000002</v>
      </c>
      <c r="N91" s="599">
        <v>57.906999999999996</v>
      </c>
      <c r="O91" s="569"/>
    </row>
    <row r="92" spans="2:15" x14ac:dyDescent="0.55000000000000004">
      <c r="B92" s="570" t="s">
        <v>69</v>
      </c>
      <c r="C92" s="571" t="s">
        <v>113</v>
      </c>
      <c r="D92" s="572" t="s">
        <v>136</v>
      </c>
      <c r="E92" s="573" t="s">
        <v>173</v>
      </c>
      <c r="F92" s="574">
        <v>3.5999999999999996</v>
      </c>
      <c r="G92" s="571">
        <v>0.5</v>
      </c>
      <c r="H92" s="575">
        <v>0.5</v>
      </c>
      <c r="I92" s="574">
        <v>2188.8659886932364</v>
      </c>
      <c r="J92" s="574">
        <v>112.5</v>
      </c>
      <c r="K92" s="576">
        <v>85.5</v>
      </c>
      <c r="M92" s="577">
        <v>19.481000000000002</v>
      </c>
      <c r="N92" s="600">
        <v>52.506999999999998</v>
      </c>
      <c r="O92" s="579"/>
    </row>
    <row r="93" spans="2:15" x14ac:dyDescent="0.55000000000000004">
      <c r="B93" s="561" t="s">
        <v>70</v>
      </c>
      <c r="C93" s="562" t="s">
        <v>113</v>
      </c>
      <c r="D93" s="563" t="s">
        <v>136</v>
      </c>
      <c r="E93" s="564" t="s">
        <v>173</v>
      </c>
      <c r="F93" s="565">
        <v>3.5999999999999996</v>
      </c>
      <c r="G93" s="562">
        <v>0.5</v>
      </c>
      <c r="H93" s="566">
        <v>0.5</v>
      </c>
      <c r="I93" s="565">
        <v>2453.3247816467283</v>
      </c>
      <c r="J93" s="565">
        <v>85.5</v>
      </c>
      <c r="K93" s="567">
        <v>0</v>
      </c>
      <c r="M93" s="568">
        <v>19.481000000000002</v>
      </c>
      <c r="N93" s="599">
        <v>47.106999999999999</v>
      </c>
      <c r="O93" s="569"/>
    </row>
    <row r="94" spans="2:15" x14ac:dyDescent="0.55000000000000004">
      <c r="B94" s="570" t="s">
        <v>71</v>
      </c>
      <c r="C94" s="571" t="s">
        <v>113</v>
      </c>
      <c r="D94" s="572" t="s">
        <v>136</v>
      </c>
      <c r="E94" s="573" t="s">
        <v>173</v>
      </c>
      <c r="F94" s="574">
        <v>3.5999999999999996</v>
      </c>
      <c r="G94" s="571">
        <v>0.5</v>
      </c>
      <c r="H94" s="575">
        <v>0.5</v>
      </c>
      <c r="I94" s="574">
        <v>2893.0264098358148</v>
      </c>
      <c r="J94" s="574">
        <v>85.5</v>
      </c>
      <c r="K94" s="576">
        <v>0</v>
      </c>
      <c r="M94" s="577">
        <v>19.481000000000002</v>
      </c>
      <c r="N94" s="600">
        <v>41.707000000000001</v>
      </c>
      <c r="O94" s="579"/>
    </row>
    <row r="95" spans="2:15" x14ac:dyDescent="0.55000000000000004">
      <c r="B95" s="561" t="s">
        <v>72</v>
      </c>
      <c r="C95" s="562" t="s">
        <v>113</v>
      </c>
      <c r="D95" s="563" t="s">
        <v>136</v>
      </c>
      <c r="E95" s="564" t="s">
        <v>173</v>
      </c>
      <c r="F95" s="565">
        <v>3.5999999999999996</v>
      </c>
      <c r="G95" s="562">
        <v>0.5</v>
      </c>
      <c r="H95" s="566">
        <v>0.5</v>
      </c>
      <c r="I95" s="565">
        <v>2870.7379728698738</v>
      </c>
      <c r="J95" s="565">
        <v>85.5</v>
      </c>
      <c r="K95" s="567">
        <v>0</v>
      </c>
      <c r="M95" s="568">
        <v>19.736000000000001</v>
      </c>
      <c r="N95" s="599">
        <v>39.597000000000001</v>
      </c>
      <c r="O95" s="569"/>
    </row>
    <row r="96" spans="2:15" x14ac:dyDescent="0.55000000000000004">
      <c r="B96" s="570" t="s">
        <v>73</v>
      </c>
      <c r="C96" s="571" t="s">
        <v>113</v>
      </c>
      <c r="D96" s="572" t="s">
        <v>136</v>
      </c>
      <c r="E96" s="573" t="s">
        <v>173</v>
      </c>
      <c r="F96" s="574">
        <v>3.5999999999999996</v>
      </c>
      <c r="G96" s="571">
        <v>0.5</v>
      </c>
      <c r="H96" s="575">
        <v>0.5</v>
      </c>
      <c r="I96" s="574">
        <v>2601.0522328948982</v>
      </c>
      <c r="J96" s="574">
        <v>85.5</v>
      </c>
      <c r="K96" s="576">
        <v>0</v>
      </c>
      <c r="M96" s="577">
        <v>22.992999999999999</v>
      </c>
      <c r="N96" s="600">
        <v>35.29</v>
      </c>
      <c r="O96" s="579"/>
    </row>
    <row r="97" spans="2:15" x14ac:dyDescent="0.55000000000000004">
      <c r="B97" s="561" t="s">
        <v>74</v>
      </c>
      <c r="C97" s="562" t="s">
        <v>113</v>
      </c>
      <c r="D97" s="563" t="s">
        <v>136</v>
      </c>
      <c r="E97" s="564" t="s">
        <v>173</v>
      </c>
      <c r="F97" s="565">
        <v>3.5999999999999996</v>
      </c>
      <c r="G97" s="562">
        <v>0.5</v>
      </c>
      <c r="H97" s="566">
        <v>0.5</v>
      </c>
      <c r="I97" s="565">
        <v>4950.7754038238554</v>
      </c>
      <c r="J97" s="565">
        <v>180</v>
      </c>
      <c r="K97" s="567">
        <v>0</v>
      </c>
      <c r="M97" s="568">
        <v>27.065000000000001</v>
      </c>
      <c r="N97" s="599">
        <v>29.907</v>
      </c>
      <c r="O97" s="569"/>
    </row>
    <row r="98" spans="2:15" x14ac:dyDescent="0.55000000000000004">
      <c r="B98" s="570" t="s">
        <v>75</v>
      </c>
      <c r="C98" s="571" t="s">
        <v>113</v>
      </c>
      <c r="D98" s="572" t="s">
        <v>136</v>
      </c>
      <c r="E98" s="573" t="s">
        <v>173</v>
      </c>
      <c r="F98" s="574">
        <v>3.5999999999999996</v>
      </c>
      <c r="G98" s="571">
        <v>0.5</v>
      </c>
      <c r="H98" s="575">
        <v>0.5</v>
      </c>
      <c r="I98" s="574">
        <v>4213.6268183898919</v>
      </c>
      <c r="J98" s="574">
        <v>169.5</v>
      </c>
      <c r="K98" s="576">
        <v>0</v>
      </c>
      <c r="M98" s="577">
        <v>31.137</v>
      </c>
      <c r="N98" s="600">
        <v>24.523</v>
      </c>
      <c r="O98" s="579"/>
    </row>
    <row r="99" spans="2:15" x14ac:dyDescent="0.55000000000000004">
      <c r="B99" s="561" t="s">
        <v>76</v>
      </c>
      <c r="C99" s="562" t="s">
        <v>113</v>
      </c>
      <c r="D99" s="563" t="s">
        <v>136</v>
      </c>
      <c r="E99" s="564" t="s">
        <v>173</v>
      </c>
      <c r="F99" s="565">
        <v>3.5999999999999996</v>
      </c>
      <c r="G99" s="562">
        <v>0.5</v>
      </c>
      <c r="H99" s="566">
        <v>0.5</v>
      </c>
      <c r="I99" s="565">
        <v>3845.6109629058847</v>
      </c>
      <c r="J99" s="565">
        <v>169.5</v>
      </c>
      <c r="K99" s="567">
        <v>0</v>
      </c>
      <c r="M99" s="568">
        <v>35.209000000000003</v>
      </c>
      <c r="N99" s="599">
        <v>19.14</v>
      </c>
      <c r="O99" s="569"/>
    </row>
    <row r="100" spans="2:15" x14ac:dyDescent="0.55000000000000004">
      <c r="B100" s="570" t="s">
        <v>77</v>
      </c>
      <c r="C100" s="571" t="s">
        <v>113</v>
      </c>
      <c r="D100" s="572" t="s">
        <v>136</v>
      </c>
      <c r="E100" s="573" t="s">
        <v>173</v>
      </c>
      <c r="F100" s="574">
        <v>3.5999999999999996</v>
      </c>
      <c r="G100" s="571">
        <v>0.5</v>
      </c>
      <c r="H100" s="575">
        <v>0.5</v>
      </c>
      <c r="I100" s="574">
        <v>3812.6073223114017</v>
      </c>
      <c r="J100" s="574">
        <v>169.5</v>
      </c>
      <c r="K100" s="576">
        <v>0</v>
      </c>
      <c r="M100" s="577">
        <v>41.121000000000002</v>
      </c>
      <c r="N100" s="600">
        <v>19.597000000000001</v>
      </c>
      <c r="O100" s="579"/>
    </row>
    <row r="101" spans="2:15" x14ac:dyDescent="0.55000000000000004">
      <c r="B101" s="561" t="s">
        <v>78</v>
      </c>
      <c r="C101" s="562" t="s">
        <v>113</v>
      </c>
      <c r="D101" s="563" t="s">
        <v>136</v>
      </c>
      <c r="E101" s="564" t="s">
        <v>173</v>
      </c>
      <c r="F101" s="565">
        <v>7.8</v>
      </c>
      <c r="G101" s="562">
        <v>0.5</v>
      </c>
      <c r="H101" s="566">
        <v>0.5</v>
      </c>
      <c r="I101" s="565">
        <v>3010.773841554384</v>
      </c>
      <c r="J101" s="565">
        <v>0</v>
      </c>
      <c r="K101" s="567">
        <v>0</v>
      </c>
      <c r="M101" s="568">
        <v>45.655999999999999</v>
      </c>
      <c r="N101" s="599">
        <v>21.963000000000001</v>
      </c>
      <c r="O101" s="569"/>
    </row>
    <row r="102" spans="2:15" x14ac:dyDescent="0.55000000000000004">
      <c r="B102" s="570" t="s">
        <v>79</v>
      </c>
      <c r="C102" s="571" t="s">
        <v>113</v>
      </c>
      <c r="D102" s="572" t="s">
        <v>136</v>
      </c>
      <c r="E102" s="573" t="s">
        <v>173</v>
      </c>
      <c r="F102" s="574">
        <v>7.8</v>
      </c>
      <c r="G102" s="571">
        <v>0.5</v>
      </c>
      <c r="H102" s="575">
        <v>0.5</v>
      </c>
      <c r="I102" s="574">
        <v>3859.5216835801393</v>
      </c>
      <c r="J102" s="574">
        <v>0</v>
      </c>
      <c r="K102" s="576">
        <v>0</v>
      </c>
      <c r="M102" s="577">
        <v>50.695999999999998</v>
      </c>
      <c r="N102" s="600">
        <v>24.593</v>
      </c>
      <c r="O102" s="579"/>
    </row>
    <row r="103" spans="2:15" x14ac:dyDescent="0.55000000000000004">
      <c r="B103" s="561" t="s">
        <v>80</v>
      </c>
      <c r="C103" s="562" t="s">
        <v>113</v>
      </c>
      <c r="D103" s="563" t="s">
        <v>136</v>
      </c>
      <c r="E103" s="564" t="s">
        <v>173</v>
      </c>
      <c r="F103" s="565">
        <v>7.8</v>
      </c>
      <c r="G103" s="562">
        <v>0.5</v>
      </c>
      <c r="H103" s="566">
        <v>0.5</v>
      </c>
      <c r="I103" s="565">
        <v>3774.5600198380762</v>
      </c>
      <c r="J103" s="565">
        <v>0</v>
      </c>
      <c r="K103" s="567">
        <v>0</v>
      </c>
      <c r="M103" s="568">
        <v>55.484000000000002</v>
      </c>
      <c r="N103" s="599">
        <v>27.091000000000001</v>
      </c>
      <c r="O103" s="569"/>
    </row>
    <row r="104" spans="2:15" x14ac:dyDescent="0.55000000000000004">
      <c r="B104" s="570" t="s">
        <v>81</v>
      </c>
      <c r="C104" s="571" t="s">
        <v>113</v>
      </c>
      <c r="D104" s="572" t="s">
        <v>136</v>
      </c>
      <c r="E104" s="573" t="s">
        <v>173</v>
      </c>
      <c r="F104" s="574">
        <v>7.8</v>
      </c>
      <c r="G104" s="571">
        <v>0.5</v>
      </c>
      <c r="H104" s="575">
        <v>0.5</v>
      </c>
      <c r="I104" s="574">
        <v>3762.0349044816298</v>
      </c>
      <c r="J104" s="574">
        <v>0</v>
      </c>
      <c r="K104" s="576">
        <v>0</v>
      </c>
      <c r="M104" s="577">
        <v>60.271000000000001</v>
      </c>
      <c r="N104" s="600">
        <v>29.588000000000001</v>
      </c>
      <c r="O104" s="579"/>
    </row>
    <row r="105" spans="2:15" x14ac:dyDescent="0.55000000000000004">
      <c r="B105" s="561" t="s">
        <v>82</v>
      </c>
      <c r="C105" s="562" t="s">
        <v>113</v>
      </c>
      <c r="D105" s="563" t="s">
        <v>136</v>
      </c>
      <c r="E105" s="564" t="s">
        <v>173</v>
      </c>
      <c r="F105" s="565">
        <v>7.8</v>
      </c>
      <c r="G105" s="562">
        <v>0.5</v>
      </c>
      <c r="H105" s="566">
        <v>0.5</v>
      </c>
      <c r="I105" s="565">
        <v>3731.967587129338</v>
      </c>
      <c r="J105" s="565">
        <v>0</v>
      </c>
      <c r="K105" s="567">
        <v>0</v>
      </c>
      <c r="M105" s="568">
        <v>65.058999999999997</v>
      </c>
      <c r="N105" s="599">
        <v>32.085999999999999</v>
      </c>
      <c r="O105" s="569"/>
    </row>
    <row r="106" spans="2:15" x14ac:dyDescent="0.55000000000000004">
      <c r="B106" s="570" t="s">
        <v>83</v>
      </c>
      <c r="C106" s="571" t="s">
        <v>113</v>
      </c>
      <c r="D106" s="572" t="s">
        <v>136</v>
      </c>
      <c r="E106" s="573" t="s">
        <v>173</v>
      </c>
      <c r="F106" s="574">
        <v>3.5999999999999996</v>
      </c>
      <c r="G106" s="571">
        <v>0.5</v>
      </c>
      <c r="H106" s="575">
        <v>0.5</v>
      </c>
      <c r="I106" s="574">
        <v>3696.6154014587401</v>
      </c>
      <c r="J106" s="574">
        <v>139.5</v>
      </c>
      <c r="K106" s="576">
        <v>0</v>
      </c>
      <c r="M106" s="577">
        <v>67.965999999999994</v>
      </c>
      <c r="N106" s="600">
        <v>26.513999999999999</v>
      </c>
      <c r="O106" s="579"/>
    </row>
    <row r="107" spans="2:15" x14ac:dyDescent="0.55000000000000004">
      <c r="B107" s="561" t="s">
        <v>84</v>
      </c>
      <c r="C107" s="562" t="s">
        <v>113</v>
      </c>
      <c r="D107" s="563" t="s">
        <v>136</v>
      </c>
      <c r="E107" s="564" t="s">
        <v>173</v>
      </c>
      <c r="F107" s="565">
        <v>11.2</v>
      </c>
      <c r="G107" s="562">
        <v>0.5</v>
      </c>
      <c r="H107" s="566">
        <v>0.5</v>
      </c>
      <c r="I107" s="565">
        <v>4081.5297136929789</v>
      </c>
      <c r="J107" s="565">
        <v>0</v>
      </c>
      <c r="K107" s="567">
        <v>0</v>
      </c>
      <c r="M107" s="568">
        <v>63.179000000000002</v>
      </c>
      <c r="N107" s="599">
        <v>24.015999999999998</v>
      </c>
      <c r="O107" s="569"/>
    </row>
    <row r="108" spans="2:15" x14ac:dyDescent="0.55000000000000004">
      <c r="B108" s="570" t="s">
        <v>85</v>
      </c>
      <c r="C108" s="571" t="s">
        <v>113</v>
      </c>
      <c r="D108" s="572" t="s">
        <v>136</v>
      </c>
      <c r="E108" s="573" t="s">
        <v>173</v>
      </c>
      <c r="F108" s="574">
        <v>3.5999999999999996</v>
      </c>
      <c r="G108" s="571">
        <v>0.5</v>
      </c>
      <c r="H108" s="575">
        <v>0.5</v>
      </c>
      <c r="I108" s="574">
        <v>4081.5297136929789</v>
      </c>
      <c r="J108" s="574">
        <v>0</v>
      </c>
      <c r="K108" s="576">
        <v>0</v>
      </c>
      <c r="M108" s="577">
        <v>58.390999999999998</v>
      </c>
      <c r="N108" s="600">
        <v>21.518000000000001</v>
      </c>
      <c r="O108" s="579"/>
    </row>
    <row r="109" spans="2:15" x14ac:dyDescent="0.55000000000000004">
      <c r="B109" s="561" t="s">
        <v>86</v>
      </c>
      <c r="C109" s="562" t="s">
        <v>113</v>
      </c>
      <c r="D109" s="563" t="s">
        <v>136</v>
      </c>
      <c r="E109" s="564" t="s">
        <v>173</v>
      </c>
      <c r="F109" s="565">
        <v>7.8</v>
      </c>
      <c r="G109" s="562">
        <v>0.5</v>
      </c>
      <c r="H109" s="566">
        <v>0.5</v>
      </c>
      <c r="I109" s="565">
        <v>6102.6605768447871</v>
      </c>
      <c r="J109" s="565">
        <v>0</v>
      </c>
      <c r="K109" s="567">
        <v>0</v>
      </c>
      <c r="M109" s="568">
        <v>53.603000000000002</v>
      </c>
      <c r="N109" s="599">
        <v>19.021000000000001</v>
      </c>
      <c r="O109" s="569"/>
    </row>
    <row r="110" spans="2:15" x14ac:dyDescent="0.55000000000000004">
      <c r="B110" s="570" t="s">
        <v>87</v>
      </c>
      <c r="C110" s="571" t="s">
        <v>113</v>
      </c>
      <c r="D110" s="572" t="s">
        <v>136</v>
      </c>
      <c r="E110" s="573" t="s">
        <v>173</v>
      </c>
      <c r="F110" s="574">
        <v>3.5999999999999996</v>
      </c>
      <c r="G110" s="571">
        <v>0.5</v>
      </c>
      <c r="H110" s="575">
        <v>0.5</v>
      </c>
      <c r="I110" s="574">
        <v>4081.5297136929789</v>
      </c>
      <c r="J110" s="574">
        <v>0</v>
      </c>
      <c r="K110" s="576">
        <v>0</v>
      </c>
      <c r="M110" s="577">
        <v>48.816000000000003</v>
      </c>
      <c r="N110" s="600">
        <v>16.523</v>
      </c>
      <c r="O110" s="579"/>
    </row>
    <row r="111" spans="2:15" x14ac:dyDescent="0.55000000000000004">
      <c r="B111" s="561" t="s">
        <v>88</v>
      </c>
      <c r="C111" s="562" t="s">
        <v>113</v>
      </c>
      <c r="D111" s="563" t="s">
        <v>136</v>
      </c>
      <c r="E111" s="564" t="s">
        <v>173</v>
      </c>
      <c r="F111" s="565">
        <v>7.8</v>
      </c>
      <c r="G111" s="562">
        <v>0.5</v>
      </c>
      <c r="H111" s="566">
        <v>0.5</v>
      </c>
      <c r="I111" s="565">
        <v>8056.2269454055786</v>
      </c>
      <c r="J111" s="565">
        <v>0</v>
      </c>
      <c r="K111" s="567">
        <v>0</v>
      </c>
      <c r="M111" s="568">
        <v>44.027999999999999</v>
      </c>
      <c r="N111" s="599">
        <v>14.025</v>
      </c>
      <c r="O111" s="569"/>
    </row>
    <row r="112" spans="2:15" x14ac:dyDescent="0.55000000000000004">
      <c r="B112" s="570" t="s">
        <v>89</v>
      </c>
      <c r="C112" s="571" t="s">
        <v>113</v>
      </c>
      <c r="D112" s="572" t="s">
        <v>136</v>
      </c>
      <c r="E112" s="573" t="s">
        <v>173</v>
      </c>
      <c r="F112" s="574">
        <v>3.5999999999999996</v>
      </c>
      <c r="G112" s="571">
        <v>0.5</v>
      </c>
      <c r="H112" s="575">
        <v>0.5</v>
      </c>
      <c r="I112" s="574">
        <v>4483.9297901916507</v>
      </c>
      <c r="J112" s="574">
        <v>0</v>
      </c>
      <c r="K112" s="576">
        <v>0</v>
      </c>
      <c r="M112" s="577">
        <v>40.478000000000002</v>
      </c>
      <c r="N112" s="600">
        <v>12.173</v>
      </c>
      <c r="O112" s="579"/>
    </row>
    <row r="113" spans="2:15" x14ac:dyDescent="0.55000000000000004">
      <c r="B113" s="561" t="s">
        <v>90</v>
      </c>
      <c r="C113" s="562" t="s">
        <v>113</v>
      </c>
      <c r="D113" s="563" t="s">
        <v>136</v>
      </c>
      <c r="E113" s="564" t="s">
        <v>173</v>
      </c>
      <c r="F113" s="565">
        <v>3.5999999999999996</v>
      </c>
      <c r="G113" s="562">
        <v>0.5</v>
      </c>
      <c r="H113" s="566">
        <v>0.5</v>
      </c>
      <c r="I113" s="565">
        <v>5494.790774230959</v>
      </c>
      <c r="J113" s="565">
        <v>0</v>
      </c>
      <c r="K113" s="567">
        <v>0</v>
      </c>
      <c r="M113" s="568">
        <v>34.828000000000003</v>
      </c>
      <c r="N113" s="599">
        <v>12</v>
      </c>
      <c r="O113" s="569"/>
    </row>
    <row r="114" spans="2:15" x14ac:dyDescent="0.55000000000000004">
      <c r="B114" s="570" t="s">
        <v>91</v>
      </c>
      <c r="C114" s="571" t="s">
        <v>113</v>
      </c>
      <c r="D114" s="572" t="s">
        <v>136</v>
      </c>
      <c r="E114" s="573" t="s">
        <v>173</v>
      </c>
      <c r="F114" s="574">
        <v>3.5999999999999996</v>
      </c>
      <c r="G114" s="571">
        <v>0.5</v>
      </c>
      <c r="H114" s="575">
        <v>0.5</v>
      </c>
      <c r="I114" s="574">
        <v>5660.3295570373557</v>
      </c>
      <c r="J114" s="574">
        <v>0</v>
      </c>
      <c r="K114" s="576">
        <v>0</v>
      </c>
      <c r="M114" s="577">
        <v>32.64</v>
      </c>
      <c r="N114" s="600">
        <v>12.118</v>
      </c>
      <c r="O114" s="579"/>
    </row>
    <row r="115" spans="2:15" x14ac:dyDescent="0.55000000000000004">
      <c r="B115" s="561" t="s">
        <v>92</v>
      </c>
      <c r="C115" s="562" t="s">
        <v>113</v>
      </c>
      <c r="D115" s="563" t="s">
        <v>136</v>
      </c>
      <c r="E115" s="564" t="s">
        <v>173</v>
      </c>
      <c r="F115" s="565">
        <v>3.5999999999999996</v>
      </c>
      <c r="G115" s="562">
        <v>0.5</v>
      </c>
      <c r="H115" s="566">
        <v>0.5</v>
      </c>
      <c r="I115" s="565">
        <v>5429.0433045959498</v>
      </c>
      <c r="J115" s="565">
        <v>0</v>
      </c>
      <c r="K115" s="567">
        <v>0</v>
      </c>
      <c r="M115" s="568">
        <v>30.196000000000002</v>
      </c>
      <c r="N115" s="599">
        <v>15.348000000000001</v>
      </c>
      <c r="O115" s="569"/>
    </row>
    <row r="116" spans="2:15" x14ac:dyDescent="0.55000000000000004">
      <c r="B116" s="570" t="s">
        <v>93</v>
      </c>
      <c r="C116" s="571" t="s">
        <v>113</v>
      </c>
      <c r="D116" s="572" t="s">
        <v>136</v>
      </c>
      <c r="E116" s="573" t="s">
        <v>173</v>
      </c>
      <c r="F116" s="574">
        <v>3.5999999999999996</v>
      </c>
      <c r="G116" s="571">
        <v>0.5</v>
      </c>
      <c r="H116" s="575">
        <v>0.5</v>
      </c>
      <c r="I116" s="574">
        <v>5363.0611752319328</v>
      </c>
      <c r="J116" s="574">
        <v>0</v>
      </c>
      <c r="K116" s="576">
        <v>0</v>
      </c>
      <c r="M116" s="577">
        <v>26.123999999999999</v>
      </c>
      <c r="N116" s="600">
        <v>20.731999999999999</v>
      </c>
      <c r="O116" s="579"/>
    </row>
    <row r="117" spans="2:15" x14ac:dyDescent="0.55000000000000004">
      <c r="B117" s="561" t="s">
        <v>94</v>
      </c>
      <c r="C117" s="562" t="s">
        <v>113</v>
      </c>
      <c r="D117" s="563" t="s">
        <v>136</v>
      </c>
      <c r="E117" s="564" t="s">
        <v>173</v>
      </c>
      <c r="F117" s="565">
        <v>3.5999999999999996</v>
      </c>
      <c r="G117" s="562">
        <v>0.5</v>
      </c>
      <c r="H117" s="566">
        <v>0.5</v>
      </c>
      <c r="I117" s="565">
        <v>3815.1022750854495</v>
      </c>
      <c r="J117" s="565">
        <v>0</v>
      </c>
      <c r="K117" s="567">
        <v>0</v>
      </c>
      <c r="M117" s="568">
        <v>22.053000000000001</v>
      </c>
      <c r="N117" s="599">
        <v>26.114999999999998</v>
      </c>
      <c r="O117" s="569"/>
    </row>
    <row r="118" spans="2:15" x14ac:dyDescent="0.55000000000000004">
      <c r="B118" s="570" t="s">
        <v>95</v>
      </c>
      <c r="C118" s="571" t="s">
        <v>113</v>
      </c>
      <c r="D118" s="572" t="s">
        <v>136</v>
      </c>
      <c r="E118" s="573" t="s">
        <v>173</v>
      </c>
      <c r="F118" s="574">
        <v>3.5999999999999996</v>
      </c>
      <c r="G118" s="571">
        <v>0.5</v>
      </c>
      <c r="H118" s="575">
        <v>0.5</v>
      </c>
      <c r="I118" s="574">
        <v>3229.2600038909904</v>
      </c>
      <c r="J118" s="574">
        <v>0</v>
      </c>
      <c r="K118" s="576">
        <v>0</v>
      </c>
      <c r="M118" s="577">
        <v>17.981000000000002</v>
      </c>
      <c r="N118" s="600">
        <v>31.498999999999999</v>
      </c>
      <c r="O118" s="579"/>
    </row>
    <row r="119" spans="2:15" x14ac:dyDescent="0.55000000000000004">
      <c r="B119" s="561" t="s">
        <v>96</v>
      </c>
      <c r="C119" s="562" t="s">
        <v>113</v>
      </c>
      <c r="D119" s="563" t="s">
        <v>136</v>
      </c>
      <c r="E119" s="564" t="s">
        <v>173</v>
      </c>
      <c r="F119" s="565">
        <v>3.5999999999999996</v>
      </c>
      <c r="G119" s="562">
        <v>0.5</v>
      </c>
      <c r="H119" s="566">
        <v>0.5</v>
      </c>
      <c r="I119" s="565">
        <v>2881.3641405487065</v>
      </c>
      <c r="J119" s="565">
        <v>0</v>
      </c>
      <c r="K119" s="567">
        <v>0</v>
      </c>
      <c r="M119" s="568">
        <v>14.723000000000001</v>
      </c>
      <c r="N119" s="599">
        <v>35.805999999999997</v>
      </c>
      <c r="O119" s="569"/>
    </row>
    <row r="120" spans="2:15" x14ac:dyDescent="0.55000000000000004">
      <c r="B120" s="570" t="s">
        <v>97</v>
      </c>
      <c r="C120" s="571" t="s">
        <v>113</v>
      </c>
      <c r="D120" s="572" t="s">
        <v>136</v>
      </c>
      <c r="E120" s="573" t="s">
        <v>173</v>
      </c>
      <c r="F120" s="574">
        <v>3.5999999999999996</v>
      </c>
      <c r="G120" s="571">
        <v>0.5</v>
      </c>
      <c r="H120" s="575">
        <v>0.5</v>
      </c>
      <c r="I120" s="574">
        <v>4146.3457244110105</v>
      </c>
      <c r="J120" s="574">
        <v>0</v>
      </c>
      <c r="K120" s="576">
        <v>0</v>
      </c>
      <c r="M120" s="577">
        <v>13.196</v>
      </c>
      <c r="N120" s="600">
        <v>37.823999999999998</v>
      </c>
      <c r="O120" s="579"/>
    </row>
    <row r="121" spans="2:15" x14ac:dyDescent="0.55000000000000004">
      <c r="B121" s="561" t="s">
        <v>98</v>
      </c>
      <c r="C121" s="562" t="s">
        <v>113</v>
      </c>
      <c r="D121" s="563" t="s">
        <v>136</v>
      </c>
      <c r="E121" s="564" t="s">
        <v>173</v>
      </c>
      <c r="F121" s="565">
        <v>3.5999999999999996</v>
      </c>
      <c r="G121" s="562">
        <v>0.5</v>
      </c>
      <c r="H121" s="566">
        <v>0.5</v>
      </c>
      <c r="I121" s="565">
        <v>3356.9220316314722</v>
      </c>
      <c r="J121" s="565">
        <v>0</v>
      </c>
      <c r="K121" s="567">
        <v>0</v>
      </c>
      <c r="M121" s="568">
        <v>13.196</v>
      </c>
      <c r="N121" s="599">
        <v>41.707000000000001</v>
      </c>
      <c r="O121" s="569"/>
    </row>
    <row r="122" spans="2:15" x14ac:dyDescent="0.55000000000000004">
      <c r="B122" s="570" t="s">
        <v>99</v>
      </c>
      <c r="C122" s="571" t="s">
        <v>113</v>
      </c>
      <c r="D122" s="572" t="s">
        <v>136</v>
      </c>
      <c r="E122" s="573" t="s">
        <v>173</v>
      </c>
      <c r="F122" s="574">
        <v>7.8</v>
      </c>
      <c r="G122" s="571">
        <v>0.5</v>
      </c>
      <c r="H122" s="575">
        <v>0.5</v>
      </c>
      <c r="I122" s="574">
        <v>4876.1622951524068</v>
      </c>
      <c r="J122" s="574">
        <v>0</v>
      </c>
      <c r="K122" s="576">
        <v>0</v>
      </c>
      <c r="M122" s="577">
        <v>13.196</v>
      </c>
      <c r="N122" s="600">
        <v>47.106999999999999</v>
      </c>
      <c r="O122" s="579"/>
    </row>
    <row r="123" spans="2:15" x14ac:dyDescent="0.55000000000000004">
      <c r="B123" s="561" t="s">
        <v>100</v>
      </c>
      <c r="C123" s="562" t="s">
        <v>113</v>
      </c>
      <c r="D123" s="563" t="s">
        <v>136</v>
      </c>
      <c r="E123" s="564" t="s">
        <v>173</v>
      </c>
      <c r="F123" s="565">
        <v>7.8</v>
      </c>
      <c r="G123" s="562">
        <v>0.5</v>
      </c>
      <c r="H123" s="566">
        <v>0.5</v>
      </c>
      <c r="I123" s="565">
        <v>5182.0211556260392</v>
      </c>
      <c r="J123" s="565">
        <v>0</v>
      </c>
      <c r="K123" s="567">
        <v>0</v>
      </c>
      <c r="M123" s="568">
        <v>13.196</v>
      </c>
      <c r="N123" s="599">
        <v>52.506999999999998</v>
      </c>
      <c r="O123" s="569"/>
    </row>
    <row r="124" spans="2:15" x14ac:dyDescent="0.55000000000000004">
      <c r="B124" s="570" t="s">
        <v>101</v>
      </c>
      <c r="C124" s="571" t="s">
        <v>113</v>
      </c>
      <c r="D124" s="572" t="s">
        <v>136</v>
      </c>
      <c r="E124" s="573" t="s">
        <v>173</v>
      </c>
      <c r="F124" s="574">
        <v>7.8</v>
      </c>
      <c r="G124" s="571">
        <v>0.5</v>
      </c>
      <c r="H124" s="575">
        <v>0.5</v>
      </c>
      <c r="I124" s="574">
        <v>4750.4138454453741</v>
      </c>
      <c r="J124" s="574">
        <v>0</v>
      </c>
      <c r="K124" s="576">
        <v>0</v>
      </c>
      <c r="M124" s="577">
        <v>13.196</v>
      </c>
      <c r="N124" s="600">
        <v>57.906999999999996</v>
      </c>
      <c r="O124" s="579"/>
    </row>
    <row r="125" spans="2:15" x14ac:dyDescent="0.55000000000000004">
      <c r="B125" s="561" t="s">
        <v>102</v>
      </c>
      <c r="C125" s="562" t="s">
        <v>113</v>
      </c>
      <c r="D125" s="563" t="s">
        <v>136</v>
      </c>
      <c r="E125" s="564" t="s">
        <v>173</v>
      </c>
      <c r="F125" s="565">
        <v>7.8</v>
      </c>
      <c r="G125" s="562">
        <v>0.5</v>
      </c>
      <c r="H125" s="566">
        <v>0.5</v>
      </c>
      <c r="I125" s="565">
        <v>5356.2173778550441</v>
      </c>
      <c r="J125" s="565">
        <v>0</v>
      </c>
      <c r="K125" s="567">
        <v>0</v>
      </c>
      <c r="M125" s="568">
        <v>13.196</v>
      </c>
      <c r="N125" s="599">
        <v>63.307000000000002</v>
      </c>
      <c r="O125" s="569"/>
    </row>
    <row r="126" spans="2:15" x14ac:dyDescent="0.55000000000000004">
      <c r="B126" s="570" t="s">
        <v>103</v>
      </c>
      <c r="C126" s="571" t="s">
        <v>113</v>
      </c>
      <c r="D126" s="572" t="s">
        <v>136</v>
      </c>
      <c r="E126" s="573" t="s">
        <v>173</v>
      </c>
      <c r="F126" s="574">
        <v>3.5999999999999996</v>
      </c>
      <c r="G126" s="571">
        <v>0.5</v>
      </c>
      <c r="H126" s="575">
        <v>0.5</v>
      </c>
      <c r="I126" s="574">
        <v>5062.3107838439992</v>
      </c>
      <c r="J126" s="574">
        <v>0</v>
      </c>
      <c r="K126" s="576">
        <v>0</v>
      </c>
      <c r="M126" s="577">
        <v>13.196</v>
      </c>
      <c r="N126" s="600">
        <v>68.206999999999994</v>
      </c>
      <c r="O126" s="579"/>
    </row>
    <row r="127" spans="2:15" x14ac:dyDescent="0.55000000000000004">
      <c r="B127" s="561" t="s">
        <v>104</v>
      </c>
      <c r="C127" s="562" t="s">
        <v>113</v>
      </c>
      <c r="D127" s="563" t="s">
        <v>136</v>
      </c>
      <c r="E127" s="564" t="s">
        <v>173</v>
      </c>
      <c r="F127" s="565">
        <v>3.5999999999999996</v>
      </c>
      <c r="G127" s="562">
        <v>0.5</v>
      </c>
      <c r="H127" s="566">
        <v>0.5</v>
      </c>
      <c r="I127" s="565">
        <v>5190.8237036132805</v>
      </c>
      <c r="J127" s="565">
        <v>0</v>
      </c>
      <c r="K127" s="567">
        <v>0</v>
      </c>
      <c r="M127" s="568">
        <v>18.096</v>
      </c>
      <c r="N127" s="599">
        <v>68.206999999999994</v>
      </c>
      <c r="O127" s="569"/>
    </row>
    <row r="128" spans="2:15" x14ac:dyDescent="0.55000000000000004">
      <c r="B128" s="570" t="s">
        <v>105</v>
      </c>
      <c r="C128" s="571" t="s">
        <v>113</v>
      </c>
      <c r="D128" s="572" t="s">
        <v>136</v>
      </c>
      <c r="E128" s="573" t="s">
        <v>173</v>
      </c>
      <c r="F128" s="574">
        <v>3.5999999999999996</v>
      </c>
      <c r="G128" s="571">
        <v>0.5</v>
      </c>
      <c r="H128" s="575">
        <v>0.5</v>
      </c>
      <c r="I128" s="574">
        <v>3477.5174414062499</v>
      </c>
      <c r="J128" s="574">
        <v>0</v>
      </c>
      <c r="K128" s="576">
        <v>0</v>
      </c>
      <c r="M128" s="577">
        <v>23.495999999999999</v>
      </c>
      <c r="N128" s="600">
        <v>68.206999999999994</v>
      </c>
      <c r="O128" s="579"/>
    </row>
    <row r="129" spans="2:15" x14ac:dyDescent="0.55000000000000004">
      <c r="B129" s="561" t="s">
        <v>106</v>
      </c>
      <c r="C129" s="562" t="s">
        <v>113</v>
      </c>
      <c r="D129" s="563" t="s">
        <v>136</v>
      </c>
      <c r="E129" s="564" t="s">
        <v>173</v>
      </c>
      <c r="F129" s="565">
        <v>3.5999999999999996</v>
      </c>
      <c r="G129" s="562">
        <v>0.5</v>
      </c>
      <c r="H129" s="566">
        <v>0.5</v>
      </c>
      <c r="I129" s="565">
        <v>3106.7283265686051</v>
      </c>
      <c r="J129" s="565">
        <v>0</v>
      </c>
      <c r="K129" s="567">
        <v>0</v>
      </c>
      <c r="M129" s="568">
        <v>28.896000000000001</v>
      </c>
      <c r="N129" s="599">
        <v>68.206999999999994</v>
      </c>
      <c r="O129" s="569"/>
    </row>
    <row r="130" spans="2:15" x14ac:dyDescent="0.55000000000000004">
      <c r="B130" s="570" t="s">
        <v>107</v>
      </c>
      <c r="C130" s="571" t="s">
        <v>113</v>
      </c>
      <c r="D130" s="572" t="s">
        <v>136</v>
      </c>
      <c r="E130" s="573" t="s">
        <v>173</v>
      </c>
      <c r="F130" s="574">
        <v>3.5999999999999996</v>
      </c>
      <c r="G130" s="571">
        <v>0.5</v>
      </c>
      <c r="H130" s="575">
        <v>0.5</v>
      </c>
      <c r="I130" s="574">
        <v>5143.603219299318</v>
      </c>
      <c r="J130" s="574">
        <v>0</v>
      </c>
      <c r="K130" s="576">
        <v>0</v>
      </c>
      <c r="M130" s="577">
        <v>34.295999999999999</v>
      </c>
      <c r="N130" s="600">
        <v>68.206999999999994</v>
      </c>
      <c r="O130" s="579"/>
    </row>
    <row r="131" spans="2:15" x14ac:dyDescent="0.55000000000000004">
      <c r="B131" s="561" t="s">
        <v>108</v>
      </c>
      <c r="C131" s="562" t="s">
        <v>113</v>
      </c>
      <c r="D131" s="563" t="s">
        <v>136</v>
      </c>
      <c r="E131" s="564" t="s">
        <v>173</v>
      </c>
      <c r="F131" s="565">
        <v>3.5999999999999996</v>
      </c>
      <c r="G131" s="562">
        <v>0.5</v>
      </c>
      <c r="H131" s="566">
        <v>0.5</v>
      </c>
      <c r="I131" s="565">
        <v>5266.241553955083</v>
      </c>
      <c r="J131" s="565">
        <v>0</v>
      </c>
      <c r="K131" s="567">
        <v>0</v>
      </c>
      <c r="M131" s="568">
        <v>39.695999999999998</v>
      </c>
      <c r="N131" s="599">
        <v>68.206999999999994</v>
      </c>
      <c r="O131" s="569"/>
    </row>
    <row r="132" spans="2:15" x14ac:dyDescent="0.55000000000000004">
      <c r="B132" s="570" t="s">
        <v>109</v>
      </c>
      <c r="C132" s="571" t="s">
        <v>113</v>
      </c>
      <c r="D132" s="572" t="s">
        <v>136</v>
      </c>
      <c r="E132" s="573" t="s">
        <v>173</v>
      </c>
      <c r="F132" s="574">
        <v>3.5999999999999996</v>
      </c>
      <c r="G132" s="571">
        <v>0.5</v>
      </c>
      <c r="H132" s="575">
        <v>0.5</v>
      </c>
      <c r="I132" s="574">
        <v>5522.7031073913577</v>
      </c>
      <c r="J132" s="574">
        <v>0</v>
      </c>
      <c r="K132" s="576">
        <v>0</v>
      </c>
      <c r="M132" s="577">
        <v>45.095999999999997</v>
      </c>
      <c r="N132" s="600">
        <v>68.206999999999994</v>
      </c>
      <c r="O132" s="579"/>
    </row>
    <row r="133" spans="2:15" x14ac:dyDescent="0.55000000000000004">
      <c r="B133" s="561" t="s">
        <v>110</v>
      </c>
      <c r="C133" s="562" t="s">
        <v>113</v>
      </c>
      <c r="D133" s="563" t="s">
        <v>136</v>
      </c>
      <c r="E133" s="564" t="s">
        <v>173</v>
      </c>
      <c r="F133" s="565">
        <v>3.5999999999999996</v>
      </c>
      <c r="G133" s="562">
        <v>0.5</v>
      </c>
      <c r="H133" s="566">
        <v>0.5</v>
      </c>
      <c r="I133" s="565">
        <v>3646.1505376739524</v>
      </c>
      <c r="J133" s="565">
        <v>0</v>
      </c>
      <c r="K133" s="567">
        <v>0</v>
      </c>
      <c r="M133" s="568">
        <v>50.496000000000002</v>
      </c>
      <c r="N133" s="599">
        <v>68.206999999999994</v>
      </c>
      <c r="O133" s="569"/>
    </row>
    <row r="134" spans="2:15" x14ac:dyDescent="0.55000000000000004">
      <c r="B134" s="570" t="s">
        <v>111</v>
      </c>
      <c r="C134" s="571" t="s">
        <v>113</v>
      </c>
      <c r="D134" s="572" t="s">
        <v>136</v>
      </c>
      <c r="E134" s="573" t="s">
        <v>173</v>
      </c>
      <c r="F134" s="574">
        <v>3.5999999999999996</v>
      </c>
      <c r="G134" s="571">
        <v>0.5</v>
      </c>
      <c r="H134" s="575">
        <v>0.5</v>
      </c>
      <c r="I134" s="574">
        <v>3942.2768030548109</v>
      </c>
      <c r="J134" s="574">
        <v>0</v>
      </c>
      <c r="K134" s="576">
        <v>0</v>
      </c>
      <c r="M134" s="577">
        <v>55.896000000000001</v>
      </c>
      <c r="N134" s="600">
        <v>68.206999999999994</v>
      </c>
      <c r="O134" s="579"/>
    </row>
    <row r="135" spans="2:15" x14ac:dyDescent="0.55000000000000004">
      <c r="B135" s="601" t="s">
        <v>112</v>
      </c>
      <c r="C135" s="602" t="s">
        <v>113</v>
      </c>
      <c r="D135" s="603" t="s">
        <v>136</v>
      </c>
      <c r="E135" s="604" t="s">
        <v>173</v>
      </c>
      <c r="F135" s="605">
        <v>11.9</v>
      </c>
      <c r="G135" s="602">
        <v>0.5</v>
      </c>
      <c r="H135" s="606">
        <v>0.5</v>
      </c>
      <c r="I135" s="605">
        <v>6794.6044771075085</v>
      </c>
      <c r="J135" s="605">
        <v>0</v>
      </c>
      <c r="K135" s="607">
        <v>0</v>
      </c>
      <c r="M135" s="568">
        <v>38.807000000000002</v>
      </c>
      <c r="N135" s="599">
        <v>26.922999999999998</v>
      </c>
      <c r="O135" s="569"/>
    </row>
    <row r="136" spans="2:15" x14ac:dyDescent="0.55000000000000004">
      <c r="B136" s="550" t="s">
        <v>45</v>
      </c>
      <c r="C136" s="551" t="s">
        <v>114</v>
      </c>
      <c r="D136" s="552" t="s">
        <v>136</v>
      </c>
      <c r="E136" s="553" t="s">
        <v>173</v>
      </c>
      <c r="F136" s="551">
        <v>3.5999999999999996</v>
      </c>
      <c r="G136" s="551">
        <v>0.5</v>
      </c>
      <c r="H136" s="555">
        <v>0.5</v>
      </c>
      <c r="I136" s="554">
        <v>2580.1663593174021</v>
      </c>
      <c r="J136" s="554">
        <v>0</v>
      </c>
      <c r="K136" s="556">
        <v>0</v>
      </c>
      <c r="M136" s="557">
        <v>61.56</v>
      </c>
      <c r="N136" s="558">
        <v>38.792999999999999</v>
      </c>
      <c r="O136" s="559"/>
    </row>
    <row r="137" spans="2:15" x14ac:dyDescent="0.55000000000000004">
      <c r="B137" s="561" t="s">
        <v>50</v>
      </c>
      <c r="C137" s="562" t="s">
        <v>114</v>
      </c>
      <c r="D137" s="563" t="s">
        <v>136</v>
      </c>
      <c r="E137" s="564" t="s">
        <v>173</v>
      </c>
      <c r="F137" s="562">
        <v>3.5999999999999996</v>
      </c>
      <c r="G137" s="562">
        <v>0.5</v>
      </c>
      <c r="H137" s="566">
        <v>0.5</v>
      </c>
      <c r="I137" s="565">
        <v>2445.4571517428103</v>
      </c>
      <c r="J137" s="565">
        <v>0</v>
      </c>
      <c r="K137" s="567">
        <v>0</v>
      </c>
      <c r="M137" s="568">
        <v>47.197000000000003</v>
      </c>
      <c r="N137" s="565">
        <v>31.3</v>
      </c>
      <c r="O137" s="569"/>
    </row>
    <row r="138" spans="2:15" x14ac:dyDescent="0.55000000000000004">
      <c r="B138" s="570" t="s">
        <v>51</v>
      </c>
      <c r="C138" s="571" t="s">
        <v>114</v>
      </c>
      <c r="D138" s="572" t="s">
        <v>136</v>
      </c>
      <c r="E138" s="573" t="s">
        <v>173</v>
      </c>
      <c r="F138" s="571">
        <v>3.5999999999999996</v>
      </c>
      <c r="G138" s="571">
        <v>0.5</v>
      </c>
      <c r="H138" s="575">
        <v>0.5</v>
      </c>
      <c r="I138" s="574">
        <v>2403.9565367811865</v>
      </c>
      <c r="J138" s="574">
        <v>0</v>
      </c>
      <c r="K138" s="576">
        <v>0</v>
      </c>
      <c r="M138" s="577">
        <v>42.408999999999999</v>
      </c>
      <c r="N138" s="578">
        <v>28.802</v>
      </c>
      <c r="O138" s="579"/>
    </row>
    <row r="139" spans="2:15" x14ac:dyDescent="0.55000000000000004">
      <c r="B139" s="561" t="s">
        <v>52</v>
      </c>
      <c r="C139" s="562" t="s">
        <v>114</v>
      </c>
      <c r="D139" s="563" t="s">
        <v>136</v>
      </c>
      <c r="E139" s="564" t="s">
        <v>173</v>
      </c>
      <c r="F139" s="562">
        <v>3.5999999999999996</v>
      </c>
      <c r="G139" s="562">
        <v>0.5</v>
      </c>
      <c r="H139" s="566">
        <v>0.5</v>
      </c>
      <c r="I139" s="565">
        <v>2388.2134176329309</v>
      </c>
      <c r="J139" s="565">
        <v>0</v>
      </c>
      <c r="K139" s="567">
        <v>0</v>
      </c>
      <c r="M139" s="568">
        <v>37.170999999999999</v>
      </c>
      <c r="N139" s="565">
        <v>29.087</v>
      </c>
      <c r="O139" s="569"/>
    </row>
    <row r="140" spans="2:15" x14ac:dyDescent="0.55000000000000004">
      <c r="B140" s="570" t="s">
        <v>53</v>
      </c>
      <c r="C140" s="571" t="s">
        <v>114</v>
      </c>
      <c r="D140" s="572" t="s">
        <v>136</v>
      </c>
      <c r="E140" s="573" t="s">
        <v>173</v>
      </c>
      <c r="F140" s="571">
        <v>3.5999999999999996</v>
      </c>
      <c r="G140" s="571">
        <v>0.5</v>
      </c>
      <c r="H140" s="575">
        <v>0.5</v>
      </c>
      <c r="I140" s="574">
        <v>2443.7682640379608</v>
      </c>
      <c r="J140" s="574">
        <v>0</v>
      </c>
      <c r="K140" s="576">
        <v>0</v>
      </c>
      <c r="M140" s="577">
        <v>33.098999999999997</v>
      </c>
      <c r="N140" s="578">
        <v>34.47</v>
      </c>
      <c r="O140" s="579"/>
    </row>
    <row r="141" spans="2:15" x14ac:dyDescent="0.55000000000000004">
      <c r="B141" s="561" t="s">
        <v>54</v>
      </c>
      <c r="C141" s="562" t="s">
        <v>114</v>
      </c>
      <c r="D141" s="563" t="s">
        <v>136</v>
      </c>
      <c r="E141" s="564" t="s">
        <v>173</v>
      </c>
      <c r="F141" s="562">
        <v>3.5999999999999996</v>
      </c>
      <c r="G141" s="562">
        <v>0.5</v>
      </c>
      <c r="H141" s="566">
        <v>0.5</v>
      </c>
      <c r="I141" s="565">
        <v>2505.551211273194</v>
      </c>
      <c r="J141" s="565">
        <v>85.5</v>
      </c>
      <c r="K141" s="567">
        <v>0</v>
      </c>
      <c r="M141" s="568">
        <v>27.045999999999999</v>
      </c>
      <c r="N141" s="565">
        <v>47.106999999999999</v>
      </c>
      <c r="O141" s="569"/>
    </row>
    <row r="142" spans="2:15" x14ac:dyDescent="0.55000000000000004">
      <c r="B142" s="570" t="s">
        <v>56</v>
      </c>
      <c r="C142" s="571" t="s">
        <v>114</v>
      </c>
      <c r="D142" s="572" t="s">
        <v>136</v>
      </c>
      <c r="E142" s="573" t="s">
        <v>173</v>
      </c>
      <c r="F142" s="571">
        <v>3.5999999999999996</v>
      </c>
      <c r="G142" s="571">
        <v>0.5</v>
      </c>
      <c r="H142" s="575">
        <v>0.5</v>
      </c>
      <c r="I142" s="574">
        <v>2514.7309551544195</v>
      </c>
      <c r="J142" s="574">
        <v>85.5</v>
      </c>
      <c r="K142" s="576">
        <v>0</v>
      </c>
      <c r="M142" s="577">
        <v>27.045999999999999</v>
      </c>
      <c r="N142" s="578">
        <v>52.506999999999998</v>
      </c>
      <c r="O142" s="579"/>
    </row>
    <row r="143" spans="2:15" x14ac:dyDescent="0.55000000000000004">
      <c r="B143" s="561" t="s">
        <v>57</v>
      </c>
      <c r="C143" s="562" t="s">
        <v>114</v>
      </c>
      <c r="D143" s="563" t="s">
        <v>136</v>
      </c>
      <c r="E143" s="564" t="s">
        <v>173</v>
      </c>
      <c r="F143" s="562">
        <v>3.5999999999999996</v>
      </c>
      <c r="G143" s="562">
        <v>0.5</v>
      </c>
      <c r="H143" s="566">
        <v>0.5</v>
      </c>
      <c r="I143" s="565">
        <v>2688.0647406921412</v>
      </c>
      <c r="J143" s="565">
        <v>112.5</v>
      </c>
      <c r="K143" s="567">
        <v>0</v>
      </c>
      <c r="M143" s="568">
        <v>28.896000000000001</v>
      </c>
      <c r="N143" s="565">
        <v>54.356999999999999</v>
      </c>
      <c r="O143" s="569"/>
    </row>
    <row r="144" spans="2:15" x14ac:dyDescent="0.55000000000000004">
      <c r="B144" s="570" t="s">
        <v>58</v>
      </c>
      <c r="C144" s="571" t="s">
        <v>114</v>
      </c>
      <c r="D144" s="572" t="s">
        <v>136</v>
      </c>
      <c r="E144" s="573" t="s">
        <v>173</v>
      </c>
      <c r="F144" s="571">
        <v>3.5999999999999996</v>
      </c>
      <c r="G144" s="571">
        <v>0.5</v>
      </c>
      <c r="H144" s="575">
        <v>0.5</v>
      </c>
      <c r="I144" s="574">
        <v>2829.8483447685262</v>
      </c>
      <c r="J144" s="574">
        <v>112.5</v>
      </c>
      <c r="K144" s="576">
        <v>0</v>
      </c>
      <c r="M144" s="577">
        <v>34.295999999999999</v>
      </c>
      <c r="N144" s="578">
        <v>54.356999999999999</v>
      </c>
      <c r="O144" s="579"/>
    </row>
    <row r="145" spans="2:15" x14ac:dyDescent="0.55000000000000004">
      <c r="B145" s="561" t="s">
        <v>59</v>
      </c>
      <c r="C145" s="562" t="s">
        <v>114</v>
      </c>
      <c r="D145" s="563" t="s">
        <v>136</v>
      </c>
      <c r="E145" s="564" t="s">
        <v>173</v>
      </c>
      <c r="F145" s="562">
        <v>3.5999999999999996</v>
      </c>
      <c r="G145" s="562">
        <v>0.5</v>
      </c>
      <c r="H145" s="566">
        <v>0.5</v>
      </c>
      <c r="I145" s="565">
        <v>2747.4225077819842</v>
      </c>
      <c r="J145" s="565">
        <v>112.5</v>
      </c>
      <c r="K145" s="567">
        <v>0</v>
      </c>
      <c r="M145" s="568">
        <v>50.496000000000002</v>
      </c>
      <c r="N145" s="565">
        <v>54.356999999999999</v>
      </c>
      <c r="O145" s="569"/>
    </row>
    <row r="146" spans="2:15" x14ac:dyDescent="0.55000000000000004">
      <c r="B146" s="570" t="s">
        <v>60</v>
      </c>
      <c r="C146" s="571" t="s">
        <v>114</v>
      </c>
      <c r="D146" s="572" t="s">
        <v>136</v>
      </c>
      <c r="E146" s="573" t="s">
        <v>173</v>
      </c>
      <c r="F146" s="571">
        <v>3.5999999999999996</v>
      </c>
      <c r="G146" s="571">
        <v>0.5</v>
      </c>
      <c r="H146" s="575">
        <v>0.5</v>
      </c>
      <c r="I146" s="574">
        <v>2993.6361402282705</v>
      </c>
      <c r="J146" s="574">
        <v>85.5</v>
      </c>
      <c r="K146" s="576">
        <v>0</v>
      </c>
      <c r="M146" s="577">
        <v>55.896000000000001</v>
      </c>
      <c r="N146" s="578">
        <v>54.356999999999999</v>
      </c>
      <c r="O146" s="579"/>
    </row>
    <row r="147" spans="2:15" x14ac:dyDescent="0.55000000000000004">
      <c r="B147" s="561" t="s">
        <v>61</v>
      </c>
      <c r="C147" s="562" t="s">
        <v>114</v>
      </c>
      <c r="D147" s="563" t="s">
        <v>136</v>
      </c>
      <c r="E147" s="564" t="s">
        <v>173</v>
      </c>
      <c r="F147" s="562">
        <v>3.5999999999999996</v>
      </c>
      <c r="G147" s="562">
        <v>0.5</v>
      </c>
      <c r="H147" s="566">
        <v>0.5</v>
      </c>
      <c r="I147" s="565">
        <v>2164.9220245571141</v>
      </c>
      <c r="J147" s="565">
        <v>85.5</v>
      </c>
      <c r="K147" s="567">
        <v>85.5</v>
      </c>
      <c r="M147" s="568">
        <v>55.896000000000001</v>
      </c>
      <c r="N147" s="565">
        <v>61.921999999999997</v>
      </c>
      <c r="O147" s="569"/>
    </row>
    <row r="148" spans="2:15" x14ac:dyDescent="0.55000000000000004">
      <c r="B148" s="570" t="s">
        <v>62</v>
      </c>
      <c r="C148" s="571" t="s">
        <v>114</v>
      </c>
      <c r="D148" s="572" t="s">
        <v>136</v>
      </c>
      <c r="E148" s="573" t="s">
        <v>173</v>
      </c>
      <c r="F148" s="571">
        <v>3.5999999999999996</v>
      </c>
      <c r="G148" s="571">
        <v>0.5</v>
      </c>
      <c r="H148" s="575">
        <v>0.5</v>
      </c>
      <c r="I148" s="574">
        <v>3692.3145758514406</v>
      </c>
      <c r="J148" s="574">
        <v>0</v>
      </c>
      <c r="K148" s="576">
        <v>0</v>
      </c>
      <c r="M148" s="577">
        <v>50.496000000000002</v>
      </c>
      <c r="N148" s="578">
        <v>61.921999999999997</v>
      </c>
      <c r="O148" s="579"/>
    </row>
    <row r="149" spans="2:15" x14ac:dyDescent="0.55000000000000004">
      <c r="B149" s="561" t="s">
        <v>63</v>
      </c>
      <c r="C149" s="562" t="s">
        <v>114</v>
      </c>
      <c r="D149" s="563" t="s">
        <v>136</v>
      </c>
      <c r="E149" s="564" t="s">
        <v>173</v>
      </c>
      <c r="F149" s="562">
        <v>3.5999999999999996</v>
      </c>
      <c r="G149" s="562">
        <v>0.5</v>
      </c>
      <c r="H149" s="566">
        <v>0.5</v>
      </c>
      <c r="I149" s="565">
        <v>2562.6418574409495</v>
      </c>
      <c r="J149" s="565">
        <v>0</v>
      </c>
      <c r="K149" s="567">
        <v>0</v>
      </c>
      <c r="M149" s="568">
        <v>45.095999999999997</v>
      </c>
      <c r="N149" s="565">
        <v>61.921999999999997</v>
      </c>
      <c r="O149" s="569"/>
    </row>
    <row r="150" spans="2:15" x14ac:dyDescent="0.55000000000000004">
      <c r="B150" s="570" t="s">
        <v>64</v>
      </c>
      <c r="C150" s="571" t="s">
        <v>114</v>
      </c>
      <c r="D150" s="572" t="s">
        <v>136</v>
      </c>
      <c r="E150" s="573" t="s">
        <v>173</v>
      </c>
      <c r="F150" s="571">
        <v>3.5999999999999996</v>
      </c>
      <c r="G150" s="571">
        <v>0.5</v>
      </c>
      <c r="H150" s="575">
        <v>0.5</v>
      </c>
      <c r="I150" s="574">
        <v>2593.9347320823676</v>
      </c>
      <c r="J150" s="574">
        <v>0</v>
      </c>
      <c r="K150" s="576">
        <v>0</v>
      </c>
      <c r="M150" s="577">
        <v>39.695999999999998</v>
      </c>
      <c r="N150" s="578">
        <v>61.921999999999997</v>
      </c>
      <c r="O150" s="579"/>
    </row>
    <row r="151" spans="2:15" x14ac:dyDescent="0.55000000000000004">
      <c r="B151" s="561" t="s">
        <v>65</v>
      </c>
      <c r="C151" s="562" t="s">
        <v>114</v>
      </c>
      <c r="D151" s="563" t="s">
        <v>136</v>
      </c>
      <c r="E151" s="564" t="s">
        <v>173</v>
      </c>
      <c r="F151" s="562">
        <v>3.5999999999999996</v>
      </c>
      <c r="G151" s="562">
        <v>0.5</v>
      </c>
      <c r="H151" s="566">
        <v>0.5</v>
      </c>
      <c r="I151" s="565">
        <v>2448.9043267593379</v>
      </c>
      <c r="J151" s="565">
        <v>0</v>
      </c>
      <c r="K151" s="567">
        <v>0</v>
      </c>
      <c r="M151" s="568">
        <v>34.295999999999999</v>
      </c>
      <c r="N151" s="565">
        <v>61.921999999999997</v>
      </c>
      <c r="O151" s="569"/>
    </row>
    <row r="152" spans="2:15" x14ac:dyDescent="0.55000000000000004">
      <c r="B152" s="570" t="s">
        <v>66</v>
      </c>
      <c r="C152" s="571" t="s">
        <v>114</v>
      </c>
      <c r="D152" s="572" t="s">
        <v>136</v>
      </c>
      <c r="E152" s="573" t="s">
        <v>173</v>
      </c>
      <c r="F152" s="571">
        <v>3.5999999999999996</v>
      </c>
      <c r="G152" s="571">
        <v>0.5</v>
      </c>
      <c r="H152" s="575">
        <v>0.5</v>
      </c>
      <c r="I152" s="574">
        <v>3370.7817413406374</v>
      </c>
      <c r="J152" s="574">
        <v>0</v>
      </c>
      <c r="K152" s="576">
        <v>0</v>
      </c>
      <c r="M152" s="577">
        <v>28.896000000000001</v>
      </c>
      <c r="N152" s="578">
        <v>61.921999999999997</v>
      </c>
      <c r="O152" s="579"/>
    </row>
    <row r="153" spans="2:15" x14ac:dyDescent="0.55000000000000004">
      <c r="B153" s="561" t="s">
        <v>67</v>
      </c>
      <c r="C153" s="562" t="s">
        <v>114</v>
      </c>
      <c r="D153" s="563" t="s">
        <v>136</v>
      </c>
      <c r="E153" s="564" t="s">
        <v>173</v>
      </c>
      <c r="F153" s="562">
        <v>3.5999999999999996</v>
      </c>
      <c r="G153" s="562">
        <v>0.5</v>
      </c>
      <c r="H153" s="566">
        <v>0.5</v>
      </c>
      <c r="I153" s="565">
        <v>2725.4231369132999</v>
      </c>
      <c r="J153" s="565">
        <v>0</v>
      </c>
      <c r="K153" s="567">
        <v>85.5</v>
      </c>
      <c r="M153" s="568">
        <v>23.495999999999999</v>
      </c>
      <c r="N153" s="565">
        <v>61.921999999999997</v>
      </c>
      <c r="O153" s="569"/>
    </row>
    <row r="154" spans="2:15" x14ac:dyDescent="0.55000000000000004">
      <c r="B154" s="570" t="s">
        <v>68</v>
      </c>
      <c r="C154" s="571" t="s">
        <v>114</v>
      </c>
      <c r="D154" s="572" t="s">
        <v>136</v>
      </c>
      <c r="E154" s="573" t="s">
        <v>173</v>
      </c>
      <c r="F154" s="571">
        <v>3.5999999999999996</v>
      </c>
      <c r="G154" s="571">
        <v>0.5</v>
      </c>
      <c r="H154" s="575">
        <v>0.5</v>
      </c>
      <c r="I154" s="574">
        <v>3148.5166869049094</v>
      </c>
      <c r="J154" s="574">
        <v>0</v>
      </c>
      <c r="K154" s="576">
        <v>112.5</v>
      </c>
      <c r="M154" s="577">
        <v>19.481000000000002</v>
      </c>
      <c r="N154" s="578">
        <v>57.906999999999996</v>
      </c>
      <c r="O154" s="579"/>
    </row>
    <row r="155" spans="2:15" x14ac:dyDescent="0.55000000000000004">
      <c r="B155" s="561" t="s">
        <v>69</v>
      </c>
      <c r="C155" s="562" t="s">
        <v>114</v>
      </c>
      <c r="D155" s="563" t="s">
        <v>136</v>
      </c>
      <c r="E155" s="564" t="s">
        <v>173</v>
      </c>
      <c r="F155" s="562">
        <v>3.5999999999999996</v>
      </c>
      <c r="G155" s="562">
        <v>0.5</v>
      </c>
      <c r="H155" s="566">
        <v>0.5</v>
      </c>
      <c r="I155" s="565">
        <v>1818.8670682239529</v>
      </c>
      <c r="J155" s="565">
        <v>112.5</v>
      </c>
      <c r="K155" s="567">
        <v>85.5</v>
      </c>
      <c r="M155" s="568">
        <v>19.481000000000002</v>
      </c>
      <c r="N155" s="565">
        <v>52.506999999999998</v>
      </c>
      <c r="O155" s="569"/>
    </row>
    <row r="156" spans="2:15" x14ac:dyDescent="0.55000000000000004">
      <c r="B156" s="570" t="s">
        <v>70</v>
      </c>
      <c r="C156" s="571" t="s">
        <v>114</v>
      </c>
      <c r="D156" s="572" t="s">
        <v>136</v>
      </c>
      <c r="E156" s="573" t="s">
        <v>173</v>
      </c>
      <c r="F156" s="571">
        <v>3.5999999999999996</v>
      </c>
      <c r="G156" s="571">
        <v>0.5</v>
      </c>
      <c r="H156" s="575">
        <v>0.5</v>
      </c>
      <c r="I156" s="574">
        <v>2045.1869240798937</v>
      </c>
      <c r="J156" s="574">
        <v>85.5</v>
      </c>
      <c r="K156" s="576">
        <v>0</v>
      </c>
      <c r="M156" s="577">
        <v>19.481000000000002</v>
      </c>
      <c r="N156" s="578">
        <v>47.106999999999999</v>
      </c>
      <c r="O156" s="579"/>
    </row>
    <row r="157" spans="2:15" x14ac:dyDescent="0.55000000000000004">
      <c r="B157" s="561" t="s">
        <v>71</v>
      </c>
      <c r="C157" s="562" t="s">
        <v>114</v>
      </c>
      <c r="D157" s="563" t="s">
        <v>136</v>
      </c>
      <c r="E157" s="564" t="s">
        <v>173</v>
      </c>
      <c r="F157" s="562">
        <v>3.5999999999999996</v>
      </c>
      <c r="G157" s="562">
        <v>0.5</v>
      </c>
      <c r="H157" s="566">
        <v>0.5</v>
      </c>
      <c r="I157" s="565">
        <v>2409.0013044204698</v>
      </c>
      <c r="J157" s="565">
        <v>85.5</v>
      </c>
      <c r="K157" s="567">
        <v>0</v>
      </c>
      <c r="M157" s="568">
        <v>19.481000000000002</v>
      </c>
      <c r="N157" s="565">
        <v>41.707000000000001</v>
      </c>
      <c r="O157" s="569"/>
    </row>
    <row r="158" spans="2:15" x14ac:dyDescent="0.55000000000000004">
      <c r="B158" s="570" t="s">
        <v>72</v>
      </c>
      <c r="C158" s="571" t="s">
        <v>114</v>
      </c>
      <c r="D158" s="572" t="s">
        <v>136</v>
      </c>
      <c r="E158" s="573" t="s">
        <v>173</v>
      </c>
      <c r="F158" s="571">
        <v>3.5999999999999996</v>
      </c>
      <c r="G158" s="571">
        <v>0.5</v>
      </c>
      <c r="H158" s="575">
        <v>0.5</v>
      </c>
      <c r="I158" s="574">
        <v>2392.8444818115236</v>
      </c>
      <c r="J158" s="574">
        <v>85.5</v>
      </c>
      <c r="K158" s="576">
        <v>0</v>
      </c>
      <c r="M158" s="577">
        <v>19.736000000000001</v>
      </c>
      <c r="N158" s="578">
        <v>39.597000000000001</v>
      </c>
      <c r="O158" s="579"/>
    </row>
    <row r="159" spans="2:15" x14ac:dyDescent="0.55000000000000004">
      <c r="B159" s="561" t="s">
        <v>73</v>
      </c>
      <c r="C159" s="562" t="s">
        <v>114</v>
      </c>
      <c r="D159" s="563" t="s">
        <v>136</v>
      </c>
      <c r="E159" s="564" t="s">
        <v>173</v>
      </c>
      <c r="F159" s="562">
        <v>3.5999999999999996</v>
      </c>
      <c r="G159" s="562">
        <v>0.5</v>
      </c>
      <c r="H159" s="566">
        <v>0.5</v>
      </c>
      <c r="I159" s="565">
        <v>2174.2367210083007</v>
      </c>
      <c r="J159" s="565">
        <v>85.5</v>
      </c>
      <c r="K159" s="567">
        <v>0</v>
      </c>
      <c r="M159" s="568">
        <v>22.992999999999999</v>
      </c>
      <c r="N159" s="565">
        <v>35.29</v>
      </c>
      <c r="O159" s="569"/>
    </row>
    <row r="160" spans="2:15" x14ac:dyDescent="0.55000000000000004">
      <c r="B160" s="570" t="s">
        <v>74</v>
      </c>
      <c r="C160" s="571" t="s">
        <v>114</v>
      </c>
      <c r="D160" s="572" t="s">
        <v>136</v>
      </c>
      <c r="E160" s="573" t="s">
        <v>173</v>
      </c>
      <c r="F160" s="571">
        <v>3.5999999999999996</v>
      </c>
      <c r="G160" s="571">
        <v>0.5</v>
      </c>
      <c r="H160" s="575">
        <v>0.5</v>
      </c>
      <c r="I160" s="574">
        <v>4091.8197507934601</v>
      </c>
      <c r="J160" s="574">
        <v>180</v>
      </c>
      <c r="K160" s="576">
        <v>0</v>
      </c>
      <c r="M160" s="577">
        <v>27.065000000000001</v>
      </c>
      <c r="N160" s="578">
        <v>29.907</v>
      </c>
      <c r="O160" s="579"/>
    </row>
    <row r="161" spans="2:15" x14ac:dyDescent="0.55000000000000004">
      <c r="B161" s="561" t="s">
        <v>75</v>
      </c>
      <c r="C161" s="562" t="s">
        <v>114</v>
      </c>
      <c r="D161" s="563" t="s">
        <v>136</v>
      </c>
      <c r="E161" s="564" t="s">
        <v>173</v>
      </c>
      <c r="F161" s="562">
        <v>3.5999999999999996</v>
      </c>
      <c r="G161" s="562">
        <v>0.5</v>
      </c>
      <c r="H161" s="566">
        <v>0.5</v>
      </c>
      <c r="I161" s="565">
        <v>3620.1382081146239</v>
      </c>
      <c r="J161" s="565">
        <v>169.5</v>
      </c>
      <c r="K161" s="567">
        <v>0</v>
      </c>
      <c r="M161" s="568">
        <v>31.137</v>
      </c>
      <c r="N161" s="565">
        <v>24.523</v>
      </c>
      <c r="O161" s="569"/>
    </row>
    <row r="162" spans="2:15" x14ac:dyDescent="0.55000000000000004">
      <c r="B162" s="570" t="s">
        <v>76</v>
      </c>
      <c r="C162" s="571" t="s">
        <v>114</v>
      </c>
      <c r="D162" s="572" t="s">
        <v>136</v>
      </c>
      <c r="E162" s="573" t="s">
        <v>173</v>
      </c>
      <c r="F162" s="571">
        <v>3.5999999999999996</v>
      </c>
      <c r="G162" s="571">
        <v>0.5</v>
      </c>
      <c r="H162" s="575">
        <v>0.5</v>
      </c>
      <c r="I162" s="574">
        <v>3318.3989639167789</v>
      </c>
      <c r="J162" s="574">
        <v>169.5</v>
      </c>
      <c r="K162" s="576">
        <v>0</v>
      </c>
      <c r="M162" s="577">
        <v>35.209000000000003</v>
      </c>
      <c r="N162" s="578">
        <v>19.14</v>
      </c>
      <c r="O162" s="579"/>
    </row>
    <row r="163" spans="2:15" x14ac:dyDescent="0.55000000000000004">
      <c r="B163" s="561" t="s">
        <v>77</v>
      </c>
      <c r="C163" s="562" t="s">
        <v>114</v>
      </c>
      <c r="D163" s="563" t="s">
        <v>136</v>
      </c>
      <c r="E163" s="564" t="s">
        <v>173</v>
      </c>
      <c r="F163" s="562">
        <v>3.5999999999999996</v>
      </c>
      <c r="G163" s="562">
        <v>0.5</v>
      </c>
      <c r="H163" s="566">
        <v>0.5</v>
      </c>
      <c r="I163" s="565">
        <v>3283.4638856048587</v>
      </c>
      <c r="J163" s="565">
        <v>169.5</v>
      </c>
      <c r="K163" s="567">
        <v>0</v>
      </c>
      <c r="M163" s="568">
        <v>41.121000000000002</v>
      </c>
      <c r="N163" s="565">
        <v>19.597000000000001</v>
      </c>
      <c r="O163" s="569"/>
    </row>
    <row r="164" spans="2:15" x14ac:dyDescent="0.55000000000000004">
      <c r="B164" s="570" t="s">
        <v>78</v>
      </c>
      <c r="C164" s="571" t="s">
        <v>114</v>
      </c>
      <c r="D164" s="572" t="s">
        <v>136</v>
      </c>
      <c r="E164" s="573" t="s">
        <v>173</v>
      </c>
      <c r="F164" s="571">
        <v>3.5999999999999996</v>
      </c>
      <c r="G164" s="571">
        <v>0.5</v>
      </c>
      <c r="H164" s="575">
        <v>0.5</v>
      </c>
      <c r="I164" s="574">
        <v>2671.1028910617824</v>
      </c>
      <c r="J164" s="574">
        <v>0</v>
      </c>
      <c r="K164" s="576">
        <v>0</v>
      </c>
      <c r="M164" s="577">
        <v>45.655999999999999</v>
      </c>
      <c r="N164" s="578">
        <v>21.963000000000001</v>
      </c>
      <c r="O164" s="579"/>
    </row>
    <row r="165" spans="2:15" x14ac:dyDescent="0.55000000000000004">
      <c r="B165" s="561" t="s">
        <v>79</v>
      </c>
      <c r="C165" s="562" t="s">
        <v>114</v>
      </c>
      <c r="D165" s="563" t="s">
        <v>136</v>
      </c>
      <c r="E165" s="564" t="s">
        <v>173</v>
      </c>
      <c r="F165" s="562">
        <v>3.5999999999999996</v>
      </c>
      <c r="G165" s="562">
        <v>0.5</v>
      </c>
      <c r="H165" s="566">
        <v>0.5</v>
      </c>
      <c r="I165" s="565">
        <v>3323.899679489135</v>
      </c>
      <c r="J165" s="565">
        <v>0</v>
      </c>
      <c r="K165" s="567">
        <v>0</v>
      </c>
      <c r="M165" s="568">
        <v>50.695999999999998</v>
      </c>
      <c r="N165" s="565">
        <v>24.593</v>
      </c>
      <c r="O165" s="569"/>
    </row>
    <row r="166" spans="2:15" x14ac:dyDescent="0.55000000000000004">
      <c r="B166" s="570" t="s">
        <v>80</v>
      </c>
      <c r="C166" s="571" t="s">
        <v>114</v>
      </c>
      <c r="D166" s="572" t="s">
        <v>136</v>
      </c>
      <c r="E166" s="573" t="s">
        <v>173</v>
      </c>
      <c r="F166" s="571">
        <v>3.5999999999999996</v>
      </c>
      <c r="G166" s="571">
        <v>0.5</v>
      </c>
      <c r="H166" s="575">
        <v>0.5</v>
      </c>
      <c r="I166" s="574">
        <v>3254.3607589302069</v>
      </c>
      <c r="J166" s="574">
        <v>0</v>
      </c>
      <c r="K166" s="576">
        <v>0</v>
      </c>
      <c r="M166" s="577">
        <v>55.484000000000002</v>
      </c>
      <c r="N166" s="578">
        <v>27.091000000000001</v>
      </c>
      <c r="O166" s="579"/>
    </row>
    <row r="167" spans="2:15" x14ac:dyDescent="0.55000000000000004">
      <c r="B167" s="561" t="s">
        <v>81</v>
      </c>
      <c r="C167" s="562" t="s">
        <v>114</v>
      </c>
      <c r="D167" s="563" t="s">
        <v>136</v>
      </c>
      <c r="E167" s="564" t="s">
        <v>173</v>
      </c>
      <c r="F167" s="562">
        <v>3.5999999999999996</v>
      </c>
      <c r="G167" s="562">
        <v>0.5</v>
      </c>
      <c r="H167" s="566">
        <v>0.5</v>
      </c>
      <c r="I167" s="565">
        <v>3240.1928035354617</v>
      </c>
      <c r="J167" s="565">
        <v>0</v>
      </c>
      <c r="K167" s="567">
        <v>0</v>
      </c>
      <c r="M167" s="568">
        <v>60.271000000000001</v>
      </c>
      <c r="N167" s="565">
        <v>29.588000000000001</v>
      </c>
      <c r="O167" s="569"/>
    </row>
    <row r="168" spans="2:15" x14ac:dyDescent="0.55000000000000004">
      <c r="B168" s="570" t="s">
        <v>82</v>
      </c>
      <c r="C168" s="571" t="s">
        <v>114</v>
      </c>
      <c r="D168" s="572" t="s">
        <v>136</v>
      </c>
      <c r="E168" s="573" t="s">
        <v>173</v>
      </c>
      <c r="F168" s="571">
        <v>3.5999999999999996</v>
      </c>
      <c r="G168" s="571">
        <v>0.5</v>
      </c>
      <c r="H168" s="575">
        <v>0.5</v>
      </c>
      <c r="I168" s="574">
        <v>3211.4087738342309</v>
      </c>
      <c r="J168" s="574">
        <v>0</v>
      </c>
      <c r="K168" s="576">
        <v>0</v>
      </c>
      <c r="M168" s="577">
        <v>65.058999999999997</v>
      </c>
      <c r="N168" s="578">
        <v>32.085999999999999</v>
      </c>
      <c r="O168" s="579"/>
    </row>
    <row r="169" spans="2:15" x14ac:dyDescent="0.55000000000000004">
      <c r="B169" s="561" t="s">
        <v>83</v>
      </c>
      <c r="C169" s="562" t="s">
        <v>114</v>
      </c>
      <c r="D169" s="563" t="s">
        <v>136</v>
      </c>
      <c r="E169" s="564" t="s">
        <v>173</v>
      </c>
      <c r="F169" s="562">
        <v>3.5999999999999996</v>
      </c>
      <c r="G169" s="562">
        <v>0.5</v>
      </c>
      <c r="H169" s="566">
        <v>0.5</v>
      </c>
      <c r="I169" s="565">
        <v>3112.3935858078003</v>
      </c>
      <c r="J169" s="565">
        <v>139.5</v>
      </c>
      <c r="K169" s="567">
        <v>0</v>
      </c>
      <c r="M169" s="568">
        <v>67.965999999999994</v>
      </c>
      <c r="N169" s="565">
        <v>26.513999999999999</v>
      </c>
      <c r="O169" s="569"/>
    </row>
    <row r="170" spans="2:15" x14ac:dyDescent="0.55000000000000004">
      <c r="B170" s="570" t="s">
        <v>84</v>
      </c>
      <c r="C170" s="571" t="s">
        <v>114</v>
      </c>
      <c r="D170" s="572" t="s">
        <v>136</v>
      </c>
      <c r="E170" s="573" t="s">
        <v>173</v>
      </c>
      <c r="F170" s="571">
        <v>11.2</v>
      </c>
      <c r="G170" s="571">
        <v>0.5</v>
      </c>
      <c r="H170" s="575">
        <v>0.5</v>
      </c>
      <c r="I170" s="574">
        <v>4043.7410664592735</v>
      </c>
      <c r="J170" s="574">
        <v>0</v>
      </c>
      <c r="K170" s="576">
        <v>0</v>
      </c>
      <c r="M170" s="577">
        <v>63.179000000000002</v>
      </c>
      <c r="N170" s="578">
        <v>24.015999999999998</v>
      </c>
      <c r="O170" s="579"/>
    </row>
    <row r="171" spans="2:15" x14ac:dyDescent="0.55000000000000004">
      <c r="B171" s="561" t="s">
        <v>85</v>
      </c>
      <c r="C171" s="562" t="s">
        <v>114</v>
      </c>
      <c r="D171" s="563" t="s">
        <v>136</v>
      </c>
      <c r="E171" s="564" t="s">
        <v>173</v>
      </c>
      <c r="F171" s="562">
        <v>3.5999999999999996</v>
      </c>
      <c r="G171" s="562">
        <v>0.5</v>
      </c>
      <c r="H171" s="566">
        <v>0.5</v>
      </c>
      <c r="I171" s="565">
        <v>3451.1970489463815</v>
      </c>
      <c r="J171" s="565">
        <v>0</v>
      </c>
      <c r="K171" s="567">
        <v>0</v>
      </c>
      <c r="M171" s="568">
        <v>58.390999999999998</v>
      </c>
      <c r="N171" s="565">
        <v>21.518000000000001</v>
      </c>
      <c r="O171" s="569"/>
    </row>
    <row r="172" spans="2:15" x14ac:dyDescent="0.55000000000000004">
      <c r="B172" s="570" t="s">
        <v>86</v>
      </c>
      <c r="C172" s="571" t="s">
        <v>114</v>
      </c>
      <c r="D172" s="572" t="s">
        <v>136</v>
      </c>
      <c r="E172" s="573" t="s">
        <v>173</v>
      </c>
      <c r="F172" s="571">
        <v>3.5999999999999996</v>
      </c>
      <c r="G172" s="571">
        <v>0.5</v>
      </c>
      <c r="H172" s="575">
        <v>0.5</v>
      </c>
      <c r="I172" s="574">
        <v>3367.5630107954685</v>
      </c>
      <c r="J172" s="574">
        <v>0</v>
      </c>
      <c r="K172" s="576">
        <v>0</v>
      </c>
      <c r="M172" s="577">
        <v>53.603000000000002</v>
      </c>
      <c r="N172" s="578">
        <v>19.021000000000001</v>
      </c>
      <c r="O172" s="579"/>
    </row>
    <row r="173" spans="2:15" x14ac:dyDescent="0.55000000000000004">
      <c r="B173" s="561" t="s">
        <v>87</v>
      </c>
      <c r="C173" s="562" t="s">
        <v>114</v>
      </c>
      <c r="D173" s="563" t="s">
        <v>136</v>
      </c>
      <c r="E173" s="564" t="s">
        <v>173</v>
      </c>
      <c r="F173" s="562">
        <v>3.5999999999999996</v>
      </c>
      <c r="G173" s="562">
        <v>0.5</v>
      </c>
      <c r="H173" s="566">
        <v>0.5</v>
      </c>
      <c r="I173" s="565">
        <v>4385.7463984451306</v>
      </c>
      <c r="J173" s="565">
        <v>0</v>
      </c>
      <c r="K173" s="567">
        <v>0</v>
      </c>
      <c r="M173" s="568">
        <v>48.816000000000003</v>
      </c>
      <c r="N173" s="565">
        <v>16.523</v>
      </c>
      <c r="O173" s="569"/>
    </row>
    <row r="174" spans="2:15" x14ac:dyDescent="0.55000000000000004">
      <c r="B174" s="570" t="s">
        <v>88</v>
      </c>
      <c r="C174" s="571" t="s">
        <v>114</v>
      </c>
      <c r="D174" s="572" t="s">
        <v>136</v>
      </c>
      <c r="E174" s="573" t="s">
        <v>173</v>
      </c>
      <c r="F174" s="571">
        <v>3.5999999999999996</v>
      </c>
      <c r="G174" s="571">
        <v>0.5</v>
      </c>
      <c r="H174" s="575">
        <v>0.5</v>
      </c>
      <c r="I174" s="574">
        <v>4352.7088412626927</v>
      </c>
      <c r="J174" s="574">
        <v>0</v>
      </c>
      <c r="K174" s="576">
        <v>0</v>
      </c>
      <c r="M174" s="577">
        <v>44.027999999999999</v>
      </c>
      <c r="N174" s="578">
        <v>14.025</v>
      </c>
      <c r="O174" s="579"/>
    </row>
    <row r="175" spans="2:15" x14ac:dyDescent="0.55000000000000004">
      <c r="B175" s="561" t="s">
        <v>89</v>
      </c>
      <c r="C175" s="562" t="s">
        <v>114</v>
      </c>
      <c r="D175" s="563" t="s">
        <v>136</v>
      </c>
      <c r="E175" s="564" t="s">
        <v>173</v>
      </c>
      <c r="F175" s="562">
        <v>3.5999999999999996</v>
      </c>
      <c r="G175" s="562">
        <v>0.5</v>
      </c>
      <c r="H175" s="566">
        <v>0.5</v>
      </c>
      <c r="I175" s="565">
        <v>3784.660790725708</v>
      </c>
      <c r="J175" s="565">
        <v>0</v>
      </c>
      <c r="K175" s="567">
        <v>0</v>
      </c>
      <c r="M175" s="568">
        <v>40.478000000000002</v>
      </c>
      <c r="N175" s="565">
        <v>12.173</v>
      </c>
      <c r="O175" s="569"/>
    </row>
    <row r="176" spans="2:15" x14ac:dyDescent="0.55000000000000004">
      <c r="B176" s="570" t="s">
        <v>90</v>
      </c>
      <c r="C176" s="571" t="s">
        <v>114</v>
      </c>
      <c r="D176" s="572" t="s">
        <v>136</v>
      </c>
      <c r="E176" s="573" t="s">
        <v>173</v>
      </c>
      <c r="F176" s="571">
        <v>3.5999999999999996</v>
      </c>
      <c r="G176" s="571">
        <v>0.5</v>
      </c>
      <c r="H176" s="575">
        <v>0.5</v>
      </c>
      <c r="I176" s="574">
        <v>4638.3263241119394</v>
      </c>
      <c r="J176" s="574">
        <v>0</v>
      </c>
      <c r="K176" s="576">
        <v>0</v>
      </c>
      <c r="M176" s="577">
        <v>34.828000000000003</v>
      </c>
      <c r="N176" s="578">
        <v>12</v>
      </c>
      <c r="O176" s="579"/>
    </row>
    <row r="177" spans="2:15" x14ac:dyDescent="0.55000000000000004">
      <c r="B177" s="561" t="s">
        <v>91</v>
      </c>
      <c r="C177" s="562" t="s">
        <v>114</v>
      </c>
      <c r="D177" s="563" t="s">
        <v>136</v>
      </c>
      <c r="E177" s="564" t="s">
        <v>173</v>
      </c>
      <c r="F177" s="562">
        <v>3.5999999999999996</v>
      </c>
      <c r="G177" s="562">
        <v>0.5</v>
      </c>
      <c r="H177" s="566">
        <v>0.5</v>
      </c>
      <c r="I177" s="565">
        <v>4801.3604957427988</v>
      </c>
      <c r="J177" s="565">
        <v>0</v>
      </c>
      <c r="K177" s="567">
        <v>0</v>
      </c>
      <c r="M177" s="568">
        <v>32.64</v>
      </c>
      <c r="N177" s="565">
        <v>12.118</v>
      </c>
      <c r="O177" s="569"/>
    </row>
    <row r="178" spans="2:15" x14ac:dyDescent="0.55000000000000004">
      <c r="B178" s="570" t="s">
        <v>92</v>
      </c>
      <c r="C178" s="571" t="s">
        <v>114</v>
      </c>
      <c r="D178" s="572" t="s">
        <v>136</v>
      </c>
      <c r="E178" s="573" t="s">
        <v>173</v>
      </c>
      <c r="F178" s="571">
        <v>3.5999999999999996</v>
      </c>
      <c r="G178" s="571">
        <v>0.5</v>
      </c>
      <c r="H178" s="575">
        <v>0.5</v>
      </c>
      <c r="I178" s="574">
        <v>4588.4619675750755</v>
      </c>
      <c r="J178" s="574">
        <v>0</v>
      </c>
      <c r="K178" s="576">
        <v>0</v>
      </c>
      <c r="M178" s="577">
        <v>30.196000000000002</v>
      </c>
      <c r="N178" s="578">
        <v>15.348000000000001</v>
      </c>
      <c r="O178" s="579"/>
    </row>
    <row r="179" spans="2:15" x14ac:dyDescent="0.55000000000000004">
      <c r="B179" s="561" t="s">
        <v>93</v>
      </c>
      <c r="C179" s="562" t="s">
        <v>114</v>
      </c>
      <c r="D179" s="563" t="s">
        <v>136</v>
      </c>
      <c r="E179" s="564" t="s">
        <v>173</v>
      </c>
      <c r="F179" s="562">
        <v>3.5999999999999996</v>
      </c>
      <c r="G179" s="562">
        <v>0.5</v>
      </c>
      <c r="H179" s="566">
        <v>0.5</v>
      </c>
      <c r="I179" s="565">
        <v>4525.550966171264</v>
      </c>
      <c r="J179" s="565">
        <v>0</v>
      </c>
      <c r="K179" s="567">
        <v>0</v>
      </c>
      <c r="M179" s="568">
        <v>26.123999999999999</v>
      </c>
      <c r="N179" s="565">
        <v>20.731999999999999</v>
      </c>
      <c r="O179" s="569"/>
    </row>
    <row r="180" spans="2:15" x14ac:dyDescent="0.55000000000000004">
      <c r="B180" s="570" t="s">
        <v>94</v>
      </c>
      <c r="C180" s="571" t="s">
        <v>114</v>
      </c>
      <c r="D180" s="572" t="s">
        <v>136</v>
      </c>
      <c r="E180" s="573" t="s">
        <v>173</v>
      </c>
      <c r="F180" s="571">
        <v>3.5999999999999996</v>
      </c>
      <c r="G180" s="571">
        <v>0.5</v>
      </c>
      <c r="H180" s="575">
        <v>0.5</v>
      </c>
      <c r="I180" s="574">
        <v>3207.5829531555164</v>
      </c>
      <c r="J180" s="574">
        <v>0</v>
      </c>
      <c r="K180" s="576">
        <v>0</v>
      </c>
      <c r="M180" s="577">
        <v>22.053000000000001</v>
      </c>
      <c r="N180" s="578">
        <v>26.114999999999998</v>
      </c>
      <c r="O180" s="579"/>
    </row>
    <row r="181" spans="2:15" x14ac:dyDescent="0.55000000000000004">
      <c r="B181" s="561" t="s">
        <v>95</v>
      </c>
      <c r="C181" s="562" t="s">
        <v>114</v>
      </c>
      <c r="D181" s="563" t="s">
        <v>136</v>
      </c>
      <c r="E181" s="564" t="s">
        <v>173</v>
      </c>
      <c r="F181" s="562">
        <v>3.5999999999999996</v>
      </c>
      <c r="G181" s="562">
        <v>0.5</v>
      </c>
      <c r="H181" s="566">
        <v>0.5</v>
      </c>
      <c r="I181" s="565">
        <v>2694.4197757644647</v>
      </c>
      <c r="J181" s="565">
        <v>0</v>
      </c>
      <c r="K181" s="567">
        <v>0</v>
      </c>
      <c r="M181" s="568">
        <v>17.981000000000002</v>
      </c>
      <c r="N181" s="565">
        <v>31.498999999999999</v>
      </c>
      <c r="O181" s="569"/>
    </row>
    <row r="182" spans="2:15" x14ac:dyDescent="0.55000000000000004">
      <c r="B182" s="570" t="s">
        <v>96</v>
      </c>
      <c r="C182" s="571" t="s">
        <v>114</v>
      </c>
      <c r="D182" s="572" t="s">
        <v>136</v>
      </c>
      <c r="E182" s="573" t="s">
        <v>173</v>
      </c>
      <c r="F182" s="571">
        <v>3.5999999999999996</v>
      </c>
      <c r="G182" s="571">
        <v>0.5</v>
      </c>
      <c r="H182" s="575">
        <v>0.5</v>
      </c>
      <c r="I182" s="574">
        <v>2348.0238179626472</v>
      </c>
      <c r="J182" s="574">
        <v>0</v>
      </c>
      <c r="K182" s="576">
        <v>0</v>
      </c>
      <c r="M182" s="577">
        <v>14.723000000000001</v>
      </c>
      <c r="N182" s="578">
        <v>35.805999999999997</v>
      </c>
      <c r="O182" s="579"/>
    </row>
    <row r="183" spans="2:15" x14ac:dyDescent="0.55000000000000004">
      <c r="B183" s="561" t="s">
        <v>97</v>
      </c>
      <c r="C183" s="562" t="s">
        <v>114</v>
      </c>
      <c r="D183" s="563" t="s">
        <v>136</v>
      </c>
      <c r="E183" s="564" t="s">
        <v>173</v>
      </c>
      <c r="F183" s="562">
        <v>3.5999999999999996</v>
      </c>
      <c r="G183" s="562">
        <v>0.5</v>
      </c>
      <c r="H183" s="566">
        <v>0.5</v>
      </c>
      <c r="I183" s="565">
        <v>3701.0162839965815</v>
      </c>
      <c r="J183" s="565">
        <v>0</v>
      </c>
      <c r="K183" s="567">
        <v>0</v>
      </c>
      <c r="M183" s="568">
        <v>13.196</v>
      </c>
      <c r="N183" s="565">
        <v>37.823999999999998</v>
      </c>
      <c r="O183" s="569"/>
    </row>
    <row r="184" spans="2:15" x14ac:dyDescent="0.55000000000000004">
      <c r="B184" s="570" t="s">
        <v>98</v>
      </c>
      <c r="C184" s="571" t="s">
        <v>114</v>
      </c>
      <c r="D184" s="572" t="s">
        <v>136</v>
      </c>
      <c r="E184" s="573" t="s">
        <v>173</v>
      </c>
      <c r="F184" s="571">
        <v>3.5999999999999996</v>
      </c>
      <c r="G184" s="571">
        <v>0.5</v>
      </c>
      <c r="H184" s="575">
        <v>0.5</v>
      </c>
      <c r="I184" s="574">
        <v>3118.3298779907241</v>
      </c>
      <c r="J184" s="574">
        <v>0</v>
      </c>
      <c r="K184" s="576">
        <v>0</v>
      </c>
      <c r="M184" s="577">
        <v>13.196</v>
      </c>
      <c r="N184" s="578">
        <v>41.707000000000001</v>
      </c>
      <c r="O184" s="579"/>
    </row>
    <row r="185" spans="2:15" x14ac:dyDescent="0.55000000000000004">
      <c r="B185" s="561" t="s">
        <v>99</v>
      </c>
      <c r="C185" s="562" t="s">
        <v>114</v>
      </c>
      <c r="D185" s="563" t="s">
        <v>136</v>
      </c>
      <c r="E185" s="564" t="s">
        <v>173</v>
      </c>
      <c r="F185" s="562">
        <v>3.5999999999999996</v>
      </c>
      <c r="G185" s="562">
        <v>0.5</v>
      </c>
      <c r="H185" s="566">
        <v>0.5</v>
      </c>
      <c r="I185" s="565">
        <v>4284.7312304534917</v>
      </c>
      <c r="J185" s="565">
        <v>0</v>
      </c>
      <c r="K185" s="567">
        <v>0</v>
      </c>
      <c r="M185" s="568">
        <v>13.196</v>
      </c>
      <c r="N185" s="565">
        <v>47.106999999999999</v>
      </c>
      <c r="O185" s="569"/>
    </row>
    <row r="186" spans="2:15" x14ac:dyDescent="0.55000000000000004">
      <c r="B186" s="570" t="s">
        <v>100</v>
      </c>
      <c r="C186" s="571" t="s">
        <v>114</v>
      </c>
      <c r="D186" s="572" t="s">
        <v>136</v>
      </c>
      <c r="E186" s="573" t="s">
        <v>173</v>
      </c>
      <c r="F186" s="571">
        <v>3.5999999999999996</v>
      </c>
      <c r="G186" s="571">
        <v>0.5</v>
      </c>
      <c r="H186" s="575">
        <v>0.5</v>
      </c>
      <c r="I186" s="574">
        <v>4326.9233528594978</v>
      </c>
      <c r="J186" s="574">
        <v>0</v>
      </c>
      <c r="K186" s="576">
        <v>0</v>
      </c>
      <c r="M186" s="577">
        <v>13.196</v>
      </c>
      <c r="N186" s="578">
        <v>52.506999999999998</v>
      </c>
      <c r="O186" s="579"/>
    </row>
    <row r="187" spans="2:15" x14ac:dyDescent="0.55000000000000004">
      <c r="B187" s="561" t="s">
        <v>101</v>
      </c>
      <c r="C187" s="562" t="s">
        <v>114</v>
      </c>
      <c r="D187" s="563" t="s">
        <v>136</v>
      </c>
      <c r="E187" s="564" t="s">
        <v>173</v>
      </c>
      <c r="F187" s="562">
        <v>3.5999999999999996</v>
      </c>
      <c r="G187" s="562">
        <v>0.5</v>
      </c>
      <c r="H187" s="566">
        <v>0.5</v>
      </c>
      <c r="I187" s="565">
        <v>3996.5030978393552</v>
      </c>
      <c r="J187" s="565">
        <v>0</v>
      </c>
      <c r="K187" s="567">
        <v>0</v>
      </c>
      <c r="M187" s="568">
        <v>13.196</v>
      </c>
      <c r="N187" s="565">
        <v>57.906999999999996</v>
      </c>
      <c r="O187" s="569"/>
    </row>
    <row r="188" spans="2:15" x14ac:dyDescent="0.55000000000000004">
      <c r="B188" s="570" t="s">
        <v>102</v>
      </c>
      <c r="C188" s="571" t="s">
        <v>114</v>
      </c>
      <c r="D188" s="572" t="s">
        <v>136</v>
      </c>
      <c r="E188" s="573" t="s">
        <v>173</v>
      </c>
      <c r="F188" s="571">
        <v>3.5999999999999996</v>
      </c>
      <c r="G188" s="571">
        <v>0.5</v>
      </c>
      <c r="H188" s="575">
        <v>0.5</v>
      </c>
      <c r="I188" s="574">
        <v>4501.8103741149907</v>
      </c>
      <c r="J188" s="574">
        <v>0</v>
      </c>
      <c r="K188" s="576">
        <v>0</v>
      </c>
      <c r="M188" s="577">
        <v>13.196</v>
      </c>
      <c r="N188" s="578">
        <v>63.307000000000002</v>
      </c>
      <c r="O188" s="579"/>
    </row>
    <row r="189" spans="2:15" x14ac:dyDescent="0.55000000000000004">
      <c r="B189" s="561" t="s">
        <v>103</v>
      </c>
      <c r="C189" s="562" t="s">
        <v>114</v>
      </c>
      <c r="D189" s="563" t="s">
        <v>136</v>
      </c>
      <c r="E189" s="564" t="s">
        <v>173</v>
      </c>
      <c r="F189" s="562">
        <v>3.5999999999999996</v>
      </c>
      <c r="G189" s="562">
        <v>0.5</v>
      </c>
      <c r="H189" s="566">
        <v>0.5</v>
      </c>
      <c r="I189" s="565">
        <v>4289.2565734863329</v>
      </c>
      <c r="J189" s="565">
        <v>0</v>
      </c>
      <c r="K189" s="567">
        <v>0</v>
      </c>
      <c r="M189" s="568">
        <v>13.196</v>
      </c>
      <c r="N189" s="565">
        <v>68.206999999999994</v>
      </c>
      <c r="O189" s="569"/>
    </row>
    <row r="190" spans="2:15" x14ac:dyDescent="0.55000000000000004">
      <c r="B190" s="570" t="s">
        <v>104</v>
      </c>
      <c r="C190" s="571" t="s">
        <v>114</v>
      </c>
      <c r="D190" s="572" t="s">
        <v>136</v>
      </c>
      <c r="E190" s="573" t="s">
        <v>173</v>
      </c>
      <c r="F190" s="571">
        <v>3.5999999999999996</v>
      </c>
      <c r="G190" s="571">
        <v>0.5</v>
      </c>
      <c r="H190" s="575">
        <v>0.5</v>
      </c>
      <c r="I190" s="574">
        <v>4347.6114328308095</v>
      </c>
      <c r="J190" s="574">
        <v>0</v>
      </c>
      <c r="K190" s="576">
        <v>0</v>
      </c>
      <c r="M190" s="577">
        <v>18.096</v>
      </c>
      <c r="N190" s="578">
        <v>68.206999999999994</v>
      </c>
      <c r="O190" s="579"/>
    </row>
    <row r="191" spans="2:15" x14ac:dyDescent="0.55000000000000004">
      <c r="B191" s="561" t="s">
        <v>105</v>
      </c>
      <c r="C191" s="562" t="s">
        <v>114</v>
      </c>
      <c r="D191" s="563" t="s">
        <v>136</v>
      </c>
      <c r="E191" s="564" t="s">
        <v>173</v>
      </c>
      <c r="F191" s="562">
        <v>3.5999999999999996</v>
      </c>
      <c r="G191" s="562">
        <v>0.5</v>
      </c>
      <c r="H191" s="566">
        <v>0.5</v>
      </c>
      <c r="I191" s="565">
        <v>2904.6218640174875</v>
      </c>
      <c r="J191" s="565">
        <v>0</v>
      </c>
      <c r="K191" s="567">
        <v>0</v>
      </c>
      <c r="M191" s="568">
        <v>23.495999999999999</v>
      </c>
      <c r="N191" s="565">
        <v>68.206999999999994</v>
      </c>
      <c r="O191" s="569"/>
    </row>
    <row r="192" spans="2:15" x14ac:dyDescent="0.55000000000000004">
      <c r="B192" s="570" t="s">
        <v>106</v>
      </c>
      <c r="C192" s="571" t="s">
        <v>114</v>
      </c>
      <c r="D192" s="572" t="s">
        <v>136</v>
      </c>
      <c r="E192" s="573" t="s">
        <v>173</v>
      </c>
      <c r="F192" s="571">
        <v>3.5999999999999996</v>
      </c>
      <c r="G192" s="571">
        <v>0.5</v>
      </c>
      <c r="H192" s="575">
        <v>0.5</v>
      </c>
      <c r="I192" s="574">
        <v>2571.4334516372696</v>
      </c>
      <c r="J192" s="574">
        <v>0</v>
      </c>
      <c r="K192" s="576">
        <v>0</v>
      </c>
      <c r="M192" s="577">
        <v>28.896000000000001</v>
      </c>
      <c r="N192" s="578">
        <v>68.206999999999994</v>
      </c>
      <c r="O192" s="579"/>
    </row>
    <row r="193" spans="2:15" x14ac:dyDescent="0.55000000000000004">
      <c r="B193" s="561" t="s">
        <v>107</v>
      </c>
      <c r="C193" s="562" t="s">
        <v>114</v>
      </c>
      <c r="D193" s="563" t="s">
        <v>136</v>
      </c>
      <c r="E193" s="564" t="s">
        <v>173</v>
      </c>
      <c r="F193" s="562">
        <v>3.5999999999999996</v>
      </c>
      <c r="G193" s="562">
        <v>0.5</v>
      </c>
      <c r="H193" s="566">
        <v>0.5</v>
      </c>
      <c r="I193" s="565">
        <v>4309.0375426940918</v>
      </c>
      <c r="J193" s="565">
        <v>0</v>
      </c>
      <c r="K193" s="567">
        <v>0</v>
      </c>
      <c r="M193" s="568">
        <v>34.295999999999999</v>
      </c>
      <c r="N193" s="565">
        <v>68.206999999999994</v>
      </c>
      <c r="O193" s="569"/>
    </row>
    <row r="194" spans="2:15" x14ac:dyDescent="0.55000000000000004">
      <c r="B194" s="570" t="s">
        <v>108</v>
      </c>
      <c r="C194" s="571" t="s">
        <v>114</v>
      </c>
      <c r="D194" s="572" t="s">
        <v>136</v>
      </c>
      <c r="E194" s="573" t="s">
        <v>173</v>
      </c>
      <c r="F194" s="571">
        <v>3.5999999999999996</v>
      </c>
      <c r="G194" s="571">
        <v>0.5</v>
      </c>
      <c r="H194" s="575">
        <v>0.5</v>
      </c>
      <c r="I194" s="574">
        <v>4386.8205450210608</v>
      </c>
      <c r="J194" s="574">
        <v>0</v>
      </c>
      <c r="K194" s="576">
        <v>0</v>
      </c>
      <c r="M194" s="577">
        <v>39.695999999999998</v>
      </c>
      <c r="N194" s="578">
        <v>68.206999999999994</v>
      </c>
      <c r="O194" s="579"/>
    </row>
    <row r="195" spans="2:15" x14ac:dyDescent="0.55000000000000004">
      <c r="B195" s="561" t="s">
        <v>109</v>
      </c>
      <c r="C195" s="562" t="s">
        <v>114</v>
      </c>
      <c r="D195" s="563" t="s">
        <v>136</v>
      </c>
      <c r="E195" s="564" t="s">
        <v>173</v>
      </c>
      <c r="F195" s="562">
        <v>3.5999999999999996</v>
      </c>
      <c r="G195" s="562">
        <v>0.5</v>
      </c>
      <c r="H195" s="566">
        <v>0.5</v>
      </c>
      <c r="I195" s="565">
        <v>4739.8962429199237</v>
      </c>
      <c r="J195" s="565">
        <v>0</v>
      </c>
      <c r="K195" s="567">
        <v>0</v>
      </c>
      <c r="M195" s="568">
        <v>45.095999999999997</v>
      </c>
      <c r="N195" s="565">
        <v>68.206999999999994</v>
      </c>
      <c r="O195" s="569"/>
    </row>
    <row r="196" spans="2:15" x14ac:dyDescent="0.55000000000000004">
      <c r="B196" s="570" t="s">
        <v>110</v>
      </c>
      <c r="C196" s="571" t="s">
        <v>114</v>
      </c>
      <c r="D196" s="572" t="s">
        <v>136</v>
      </c>
      <c r="E196" s="573" t="s">
        <v>173</v>
      </c>
      <c r="F196" s="571">
        <v>3.5999999999999996</v>
      </c>
      <c r="G196" s="571">
        <v>0.5</v>
      </c>
      <c r="H196" s="575">
        <v>0.5</v>
      </c>
      <c r="I196" s="574">
        <v>3357.646403938295</v>
      </c>
      <c r="J196" s="574">
        <v>0</v>
      </c>
      <c r="K196" s="576">
        <v>0</v>
      </c>
      <c r="M196" s="577">
        <v>50.496000000000002</v>
      </c>
      <c r="N196" s="578">
        <v>68.206999999999994</v>
      </c>
      <c r="O196" s="579"/>
    </row>
    <row r="197" spans="2:15" x14ac:dyDescent="0.55000000000000004">
      <c r="B197" s="561" t="s">
        <v>111</v>
      </c>
      <c r="C197" s="562" t="s">
        <v>114</v>
      </c>
      <c r="D197" s="563" t="s">
        <v>136</v>
      </c>
      <c r="E197" s="564" t="s">
        <v>173</v>
      </c>
      <c r="F197" s="562">
        <v>3.5999999999999996</v>
      </c>
      <c r="G197" s="562">
        <v>0.5</v>
      </c>
      <c r="H197" s="566">
        <v>0.5</v>
      </c>
      <c r="I197" s="565">
        <v>3341.2512899436956</v>
      </c>
      <c r="J197" s="565">
        <v>0</v>
      </c>
      <c r="K197" s="567">
        <v>0</v>
      </c>
      <c r="M197" s="568">
        <v>55.896000000000001</v>
      </c>
      <c r="N197" s="565">
        <v>68.206999999999994</v>
      </c>
      <c r="O197" s="569"/>
    </row>
    <row r="198" spans="2:15" x14ac:dyDescent="0.55000000000000004">
      <c r="B198" s="583" t="s">
        <v>112</v>
      </c>
      <c r="C198" s="584" t="s">
        <v>114</v>
      </c>
      <c r="D198" s="585" t="s">
        <v>136</v>
      </c>
      <c r="E198" s="586" t="s">
        <v>173</v>
      </c>
      <c r="F198" s="584">
        <v>11.9</v>
      </c>
      <c r="G198" s="584">
        <v>0.5</v>
      </c>
      <c r="H198" s="588">
        <v>0.5</v>
      </c>
      <c r="I198" s="587">
        <v>6727.424659803145</v>
      </c>
      <c r="J198" s="587">
        <v>0</v>
      </c>
      <c r="K198" s="589">
        <v>0</v>
      </c>
      <c r="M198" s="581">
        <v>38.807000000000002</v>
      </c>
      <c r="N198" s="590">
        <v>26.922999999999998</v>
      </c>
      <c r="O198" s="591"/>
    </row>
    <row r="199" spans="2:15" ht="10" customHeight="1" x14ac:dyDescent="0.55000000000000004">
      <c r="I199" s="526"/>
    </row>
    <row r="200" spans="2:15" hidden="1" x14ac:dyDescent="0.55000000000000004">
      <c r="I200" s="526"/>
    </row>
    <row r="201" spans="2:15" hidden="1" x14ac:dyDescent="0.55000000000000004">
      <c r="I201" s="526"/>
    </row>
    <row r="202" spans="2:15" hidden="1" x14ac:dyDescent="0.55000000000000004">
      <c r="I202" s="526"/>
    </row>
    <row r="203" spans="2:15" hidden="1" x14ac:dyDescent="0.55000000000000004">
      <c r="I203" s="526"/>
    </row>
    <row r="204" spans="2:15" hidden="1" x14ac:dyDescent="0.55000000000000004">
      <c r="I204" s="526"/>
    </row>
    <row r="205" spans="2:15" hidden="1" x14ac:dyDescent="0.55000000000000004">
      <c r="I205" s="526"/>
    </row>
    <row r="206" spans="2:15" hidden="1" x14ac:dyDescent="0.55000000000000004">
      <c r="I206" s="526"/>
    </row>
    <row r="207" spans="2:15" hidden="1" x14ac:dyDescent="0.55000000000000004">
      <c r="I207" s="526"/>
    </row>
    <row r="208" spans="2:15" hidden="1" x14ac:dyDescent="0.55000000000000004">
      <c r="I208" s="526"/>
    </row>
    <row r="209" spans="9:9" hidden="1" x14ac:dyDescent="0.55000000000000004">
      <c r="I209" s="526"/>
    </row>
    <row r="210" spans="9:9" hidden="1" x14ac:dyDescent="0.55000000000000004">
      <c r="I210" s="526"/>
    </row>
    <row r="211" spans="9:9" hidden="1" x14ac:dyDescent="0.55000000000000004">
      <c r="I211" s="526"/>
    </row>
    <row r="212" spans="9:9" hidden="1" x14ac:dyDescent="0.55000000000000004">
      <c r="I212" s="526"/>
    </row>
    <row r="213" spans="9:9" hidden="1" x14ac:dyDescent="0.55000000000000004">
      <c r="I213" s="542" t="s">
        <v>115</v>
      </c>
    </row>
    <row r="214" spans="9:9" hidden="1" x14ac:dyDescent="0.55000000000000004">
      <c r="I214" s="542" t="s">
        <v>115</v>
      </c>
    </row>
    <row r="215" spans="9:9" hidden="1" x14ac:dyDescent="0.55000000000000004">
      <c r="I215" s="542" t="s">
        <v>115</v>
      </c>
    </row>
    <row r="216" spans="9:9" hidden="1" x14ac:dyDescent="0.55000000000000004">
      <c r="I216" s="542" t="s">
        <v>115</v>
      </c>
    </row>
    <row r="217" spans="9:9" hidden="1" x14ac:dyDescent="0.55000000000000004">
      <c r="I217" s="542" t="s">
        <v>115</v>
      </c>
    </row>
    <row r="218" spans="9:9" hidden="1" x14ac:dyDescent="0.55000000000000004">
      <c r="I218" s="542" t="s">
        <v>115</v>
      </c>
    </row>
    <row r="219" spans="9:9" hidden="1" x14ac:dyDescent="0.55000000000000004">
      <c r="I219" s="542" t="s">
        <v>115</v>
      </c>
    </row>
    <row r="220" spans="9:9" hidden="1" x14ac:dyDescent="0.55000000000000004">
      <c r="I220" s="542" t="s">
        <v>115</v>
      </c>
    </row>
    <row r="221" spans="9:9" hidden="1" x14ac:dyDescent="0.55000000000000004">
      <c r="I221" s="542" t="s">
        <v>115</v>
      </c>
    </row>
    <row r="222" spans="9:9" hidden="1" x14ac:dyDescent="0.55000000000000004">
      <c r="I222" s="542" t="s">
        <v>115</v>
      </c>
    </row>
  </sheetData>
  <mergeCells count="8">
    <mergeCell ref="M2:O3"/>
    <mergeCell ref="Q2:R3"/>
    <mergeCell ref="E2:K3"/>
    <mergeCell ref="B7:E7"/>
    <mergeCell ref="F7:H7"/>
    <mergeCell ref="I7:K7"/>
    <mergeCell ref="M7:O7"/>
    <mergeCell ref="Q7:R7"/>
  </mergeCell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5DF4B7A7-DB66-4B2D-AF5C-1A1FF3EA7879}">
          <x14:formula1>
            <xm:f>'Listen und Kennwerte'!#REF!</xm:f>
          </x14:formula1>
          <xm:sqref>D10:D198</xm:sqref>
        </x14:dataValidation>
        <x14:dataValidation type="list" allowBlank="1" showInputMessage="1" showErrorMessage="1" xr:uid="{5A34FB20-387C-48F1-8DFF-07B166A476F5}">
          <x14:formula1>
            <xm:f>'Listen und Kennwerte'!#REF!</xm:f>
          </x14:formula1>
          <xm:sqref>E10:E198</xm:sqref>
        </x14:dataValidation>
        <x14:dataValidation type="list" allowBlank="1" showInputMessage="1" showErrorMessage="1" xr:uid="{BD4240BA-C434-43A5-8C2B-29230AD1C3B5}">
          <x14:formula1>
            <xm:f>'Listen und Kennwerte'!$Q$4:$Q$8</xm:f>
          </x14:formula1>
          <xm:sqref>D10:D198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6327CD-A261-4905-BACE-4F6DE99C1325}">
  <sheetPr codeName="Sheet5">
    <tabColor theme="1"/>
  </sheetPr>
  <dimension ref="A1:DJ151"/>
  <sheetViews>
    <sheetView showGridLines="0" tabSelected="1" zoomScale="80" zoomScaleNormal="80" workbookViewId="0">
      <selection activeCell="BJ17" sqref="BJ17"/>
    </sheetView>
  </sheetViews>
  <sheetFormatPr defaultColWidth="0" defaultRowHeight="15.6" zeroHeight="1" x14ac:dyDescent="0.6"/>
  <cols>
    <col min="1" max="1" width="1.546875" style="371" customWidth="1"/>
    <col min="2" max="2" width="10.44921875" style="370" customWidth="1"/>
    <col min="3" max="4" width="10.44921875" style="371" customWidth="1"/>
    <col min="5" max="5" width="15.046875" style="370" customWidth="1"/>
    <col min="6" max="6" width="1.546875" style="371" customWidth="1"/>
    <col min="7" max="8" width="8.796875" style="371" customWidth="1"/>
    <col min="9" max="9" width="10.5" style="371" hidden="1" customWidth="1"/>
    <col min="10" max="13" width="10.5" style="371" customWidth="1"/>
    <col min="14" max="16" width="8.796875" style="371" customWidth="1"/>
    <col min="17" max="18" width="8.796875" style="371" hidden="1" customWidth="1"/>
    <col min="19" max="19" width="11.3984375" style="371" hidden="1" customWidth="1"/>
    <col min="20" max="23" width="8.796875" style="371" hidden="1" customWidth="1"/>
    <col min="24" max="24" width="1.546875" style="371" customWidth="1"/>
    <col min="25" max="32" width="8.09765625" style="371" hidden="1" customWidth="1"/>
    <col min="33" max="33" width="15.546875" style="371" customWidth="1"/>
    <col min="34" max="34" width="1.546875" style="371" customWidth="1"/>
    <col min="35" max="42" width="8.09765625" style="371" hidden="1" customWidth="1"/>
    <col min="43" max="43" width="15.546875" style="379" customWidth="1"/>
    <col min="44" max="44" width="1.546875" style="403" customWidth="1"/>
    <col min="45" max="59" width="8.796875" style="379" hidden="1" customWidth="1"/>
    <col min="60" max="60" width="15.546875" style="379" customWidth="1"/>
    <col min="61" max="61" width="1.546875" style="371" customWidth="1"/>
    <col min="62" max="62" width="16.75" style="371" customWidth="1"/>
    <col min="63" max="63" width="1.546875" style="371" customWidth="1"/>
    <col min="64" max="64" width="0" style="403" hidden="1"/>
    <col min="65" max="114" width="0" style="371" hidden="1"/>
    <col min="115" max="16384" width="8.796875" style="371" hidden="1"/>
  </cols>
  <sheetData>
    <row r="1" spans="1:114" s="52" customFormat="1" ht="10" customHeight="1" x14ac:dyDescent="0.6">
      <c r="A1" s="52">
        <v>1</v>
      </c>
      <c r="B1" s="415">
        <v>2</v>
      </c>
      <c r="C1" s="52">
        <v>3</v>
      </c>
      <c r="D1" s="52">
        <v>4</v>
      </c>
      <c r="E1" s="415">
        <v>5</v>
      </c>
      <c r="F1" s="52">
        <v>6</v>
      </c>
      <c r="G1" s="52">
        <v>7</v>
      </c>
      <c r="H1" s="52">
        <v>8</v>
      </c>
      <c r="I1" s="52">
        <v>9</v>
      </c>
      <c r="J1" s="52">
        <v>10</v>
      </c>
      <c r="K1" s="52">
        <v>11</v>
      </c>
      <c r="L1" s="52">
        <v>12</v>
      </c>
      <c r="M1" s="52">
        <v>13</v>
      </c>
      <c r="N1" s="52">
        <v>14</v>
      </c>
      <c r="O1" s="52">
        <v>15</v>
      </c>
      <c r="P1" s="52">
        <v>16</v>
      </c>
      <c r="Q1" s="52">
        <v>17</v>
      </c>
      <c r="R1" s="52">
        <v>18</v>
      </c>
      <c r="S1" s="52">
        <v>19</v>
      </c>
      <c r="T1" s="52">
        <v>20</v>
      </c>
      <c r="U1" s="52">
        <v>21</v>
      </c>
      <c r="V1" s="52">
        <v>22</v>
      </c>
      <c r="W1" s="52">
        <v>23</v>
      </c>
      <c r="X1" s="52">
        <v>24</v>
      </c>
      <c r="Y1" s="52">
        <v>25</v>
      </c>
      <c r="Z1" s="52">
        <v>26</v>
      </c>
      <c r="AA1" s="52">
        <v>27</v>
      </c>
      <c r="AB1" s="52">
        <v>28</v>
      </c>
      <c r="AC1" s="52">
        <v>33</v>
      </c>
      <c r="AD1" s="52">
        <v>29</v>
      </c>
      <c r="AE1" s="52">
        <v>30</v>
      </c>
      <c r="AF1" s="52">
        <v>31</v>
      </c>
      <c r="AG1" s="52">
        <v>32</v>
      </c>
      <c r="AH1" s="52">
        <v>34</v>
      </c>
      <c r="AI1" s="52">
        <v>35</v>
      </c>
      <c r="AJ1" s="52">
        <v>36</v>
      </c>
      <c r="AK1" s="52">
        <v>37</v>
      </c>
      <c r="AL1" s="52">
        <v>38</v>
      </c>
      <c r="AM1" s="52">
        <v>39</v>
      </c>
      <c r="AN1" s="52">
        <v>40</v>
      </c>
      <c r="AO1" s="52">
        <v>41</v>
      </c>
      <c r="AP1" s="52">
        <v>42</v>
      </c>
      <c r="AQ1" s="52">
        <v>43</v>
      </c>
      <c r="AR1" s="52">
        <v>44</v>
      </c>
      <c r="AS1" s="52">
        <v>45</v>
      </c>
      <c r="AT1" s="52">
        <v>46</v>
      </c>
      <c r="AU1" s="52">
        <v>47</v>
      </c>
      <c r="AV1" s="52">
        <v>48</v>
      </c>
      <c r="AW1" s="52">
        <v>49</v>
      </c>
      <c r="AX1" s="52">
        <v>50</v>
      </c>
      <c r="AY1" s="52">
        <v>51</v>
      </c>
      <c r="AZ1" s="52">
        <v>52</v>
      </c>
      <c r="BA1" s="52">
        <v>53</v>
      </c>
      <c r="BB1" s="52">
        <v>54</v>
      </c>
      <c r="BC1" s="52">
        <v>55</v>
      </c>
      <c r="BD1" s="52">
        <v>56</v>
      </c>
      <c r="BE1" s="52">
        <v>57</v>
      </c>
      <c r="BF1" s="52">
        <v>58</v>
      </c>
      <c r="BG1" s="52">
        <v>59</v>
      </c>
      <c r="BH1" s="52">
        <v>60</v>
      </c>
      <c r="BI1" s="340"/>
      <c r="BK1" s="340"/>
    </row>
    <row r="2" spans="1:114" s="308" customFormat="1" ht="24.9" customHeight="1" x14ac:dyDescent="0.6">
      <c r="B2" s="381"/>
      <c r="C2" s="382"/>
      <c r="D2" s="383"/>
      <c r="E2" s="384"/>
      <c r="G2" s="311" t="s">
        <v>367</v>
      </c>
      <c r="H2" s="309"/>
      <c r="I2" s="309"/>
      <c r="J2" s="309"/>
      <c r="K2" s="309"/>
      <c r="L2" s="309"/>
      <c r="M2" s="309"/>
      <c r="N2" s="309"/>
      <c r="O2" s="309"/>
      <c r="P2" s="309"/>
      <c r="Q2" s="309"/>
      <c r="R2" s="309"/>
      <c r="S2" s="309"/>
      <c r="T2" s="309"/>
      <c r="U2" s="309"/>
      <c r="V2" s="309"/>
      <c r="W2" s="391"/>
      <c r="X2" s="310"/>
      <c r="Y2" s="311" t="s">
        <v>265</v>
      </c>
      <c r="Z2" s="309"/>
      <c r="AA2" s="309"/>
      <c r="AB2" s="309"/>
      <c r="AC2" s="309"/>
      <c r="AD2" s="309"/>
      <c r="AE2" s="309"/>
      <c r="AF2" s="309"/>
      <c r="AG2" s="309"/>
      <c r="AH2" s="310"/>
      <c r="AI2" s="311" t="s">
        <v>265</v>
      </c>
      <c r="AJ2" s="309"/>
      <c r="AK2" s="309"/>
      <c r="AL2" s="309"/>
      <c r="AM2" s="309"/>
      <c r="AN2" s="309"/>
      <c r="AO2" s="309"/>
      <c r="AP2" s="309"/>
      <c r="AQ2" s="445"/>
      <c r="AR2" s="421"/>
      <c r="AS2" s="311" t="s">
        <v>341</v>
      </c>
      <c r="AT2" s="309"/>
      <c r="AU2" s="309"/>
      <c r="AV2" s="309"/>
      <c r="AW2" s="309"/>
      <c r="AX2" s="309"/>
      <c r="AY2" s="309"/>
      <c r="AZ2" s="309"/>
      <c r="BA2" s="309"/>
      <c r="BB2" s="309"/>
      <c r="BC2" s="309"/>
      <c r="BD2" s="309"/>
      <c r="BE2" s="309"/>
      <c r="BF2" s="309"/>
      <c r="BG2" s="309"/>
      <c r="BH2" s="309"/>
      <c r="BI2" s="310"/>
      <c r="BJ2" s="338"/>
      <c r="BK2" s="310"/>
      <c r="BL2" s="401"/>
    </row>
    <row r="3" spans="1:114" s="308" customFormat="1" ht="24.9" customHeight="1" x14ac:dyDescent="0.6">
      <c r="B3" s="385"/>
      <c r="C3" s="386"/>
      <c r="D3" s="387"/>
      <c r="E3" s="388"/>
      <c r="G3" s="392"/>
      <c r="H3" s="386"/>
      <c r="I3" s="386"/>
      <c r="J3" s="386"/>
      <c r="K3" s="386"/>
      <c r="L3" s="386"/>
      <c r="M3" s="386"/>
      <c r="N3" s="386"/>
      <c r="O3" s="386"/>
      <c r="P3" s="386"/>
      <c r="Q3" s="386"/>
      <c r="R3" s="386"/>
      <c r="S3" s="386"/>
      <c r="T3" s="386"/>
      <c r="U3" s="386"/>
      <c r="V3" s="386"/>
      <c r="W3" s="393"/>
      <c r="X3" s="310"/>
      <c r="Y3" s="394" t="s">
        <v>339</v>
      </c>
      <c r="Z3" s="296"/>
      <c r="AA3" s="296"/>
      <c r="AB3" s="296"/>
      <c r="AC3" s="296"/>
      <c r="AD3" s="296"/>
      <c r="AE3" s="296"/>
      <c r="AF3" s="296"/>
      <c r="AG3" s="296"/>
      <c r="AH3" s="310"/>
      <c r="AI3" s="394" t="s">
        <v>340</v>
      </c>
      <c r="AJ3" s="296"/>
      <c r="AK3" s="296"/>
      <c r="AL3" s="296"/>
      <c r="AM3" s="296"/>
      <c r="AN3" s="296"/>
      <c r="AO3" s="296"/>
      <c r="AP3" s="296"/>
      <c r="AQ3" s="446"/>
      <c r="AR3" s="421"/>
      <c r="AS3" s="394" t="s">
        <v>342</v>
      </c>
      <c r="AT3" s="296"/>
      <c r="AU3" s="296"/>
      <c r="AV3" s="296"/>
      <c r="AW3" s="296"/>
      <c r="AX3" s="296"/>
      <c r="AY3" s="296"/>
      <c r="AZ3" s="296"/>
      <c r="BA3" s="296"/>
      <c r="BB3" s="296"/>
      <c r="BC3" s="296"/>
      <c r="BD3" s="296"/>
      <c r="BE3" s="296"/>
      <c r="BF3" s="296"/>
      <c r="BG3" s="296"/>
      <c r="BH3" s="296"/>
      <c r="BI3" s="310"/>
      <c r="BJ3" s="339"/>
      <c r="BK3" s="310"/>
      <c r="BL3" s="401"/>
    </row>
    <row r="4" spans="1:114" s="308" customFormat="1" ht="24.9" customHeight="1" x14ac:dyDescent="0.6">
      <c r="B4" s="385"/>
      <c r="C4" s="386"/>
      <c r="D4" s="387"/>
      <c r="E4" s="388"/>
      <c r="G4" s="394"/>
      <c r="H4" s="386"/>
      <c r="I4" s="386"/>
      <c r="J4" s="386"/>
      <c r="K4" s="386"/>
      <c r="L4" s="386"/>
      <c r="M4" s="386"/>
      <c r="N4" s="386"/>
      <c r="O4" s="386"/>
      <c r="P4" s="386"/>
      <c r="Q4" s="386"/>
      <c r="R4" s="386"/>
      <c r="S4" s="386"/>
      <c r="T4" s="386"/>
      <c r="U4" s="386"/>
      <c r="V4" s="386"/>
      <c r="W4" s="393"/>
      <c r="X4" s="310"/>
      <c r="Y4" s="312" t="s">
        <v>266</v>
      </c>
      <c r="Z4" s="296"/>
      <c r="AA4" s="296"/>
      <c r="AB4" s="296"/>
      <c r="AC4" s="296"/>
      <c r="AD4" s="296"/>
      <c r="AE4" s="296"/>
      <c r="AF4" s="296"/>
      <c r="AG4" s="296"/>
      <c r="AH4" s="310"/>
      <c r="AI4" s="312" t="s">
        <v>266</v>
      </c>
      <c r="AJ4" s="296"/>
      <c r="AK4" s="296"/>
      <c r="AL4" s="296"/>
      <c r="AM4" s="296"/>
      <c r="AN4" s="296"/>
      <c r="AO4" s="296"/>
      <c r="AP4" s="296"/>
      <c r="AQ4" s="447"/>
      <c r="AR4" s="421"/>
      <c r="AS4" s="312" t="s">
        <v>266</v>
      </c>
      <c r="AT4" s="296"/>
      <c r="AU4" s="296"/>
      <c r="AV4" s="296"/>
      <c r="AW4" s="296"/>
      <c r="AX4" s="296"/>
      <c r="AY4" s="296"/>
      <c r="AZ4" s="296"/>
      <c r="BA4" s="296"/>
      <c r="BB4" s="296"/>
      <c r="BC4" s="296"/>
      <c r="BD4" s="296"/>
      <c r="BE4" s="296"/>
      <c r="BF4" s="296"/>
      <c r="BG4" s="296"/>
      <c r="BH4" s="400"/>
      <c r="BI4" s="310"/>
      <c r="BJ4" s="339"/>
      <c r="BK4" s="310"/>
      <c r="BL4" s="401"/>
    </row>
    <row r="5" spans="1:114" s="308" customFormat="1" ht="24.9" customHeight="1" x14ac:dyDescent="0.6">
      <c r="B5" s="389"/>
      <c r="C5" s="390"/>
      <c r="D5" s="450"/>
      <c r="E5" s="451"/>
      <c r="G5" s="395"/>
      <c r="H5" s="396"/>
      <c r="I5" s="396"/>
      <c r="J5" s="396"/>
      <c r="K5" s="396"/>
      <c r="L5" s="396"/>
      <c r="M5" s="396"/>
      <c r="N5" s="396"/>
      <c r="O5" s="396"/>
      <c r="P5" s="396"/>
      <c r="Q5" s="396"/>
      <c r="R5" s="396"/>
      <c r="S5" s="396"/>
      <c r="T5" s="396"/>
      <c r="U5" s="396"/>
      <c r="V5" s="396"/>
      <c r="W5" s="397"/>
      <c r="X5" s="310"/>
      <c r="Y5" s="398" t="s">
        <v>287</v>
      </c>
      <c r="Z5" s="399"/>
      <c r="AA5" s="399"/>
      <c r="AB5" s="399"/>
      <c r="AC5" s="399"/>
      <c r="AD5" s="399"/>
      <c r="AE5" s="399"/>
      <c r="AF5" s="399"/>
      <c r="AG5" s="399"/>
      <c r="AH5" s="310"/>
      <c r="AI5" s="395"/>
      <c r="AJ5" s="399"/>
      <c r="AK5" s="399"/>
      <c r="AL5" s="399"/>
      <c r="AM5" s="399"/>
      <c r="AN5" s="399"/>
      <c r="AO5" s="399"/>
      <c r="AP5" s="399"/>
      <c r="AQ5" s="448"/>
      <c r="AR5" s="421"/>
      <c r="AS5" s="395"/>
      <c r="AT5" s="399"/>
      <c r="AU5" s="399"/>
      <c r="AV5" s="399"/>
      <c r="AW5" s="399"/>
      <c r="AX5" s="399"/>
      <c r="AY5" s="399"/>
      <c r="AZ5" s="399"/>
      <c r="BA5" s="399"/>
      <c r="BB5" s="399"/>
      <c r="BC5" s="399"/>
      <c r="BD5" s="399"/>
      <c r="BE5" s="399"/>
      <c r="BF5" s="399"/>
      <c r="BG5" s="399"/>
      <c r="BH5" s="399"/>
      <c r="BI5" s="310"/>
      <c r="BJ5" s="424"/>
      <c r="BK5" s="310"/>
      <c r="BL5" s="401"/>
    </row>
    <row r="6" spans="1:114" s="186" customFormat="1" ht="10" customHeight="1" x14ac:dyDescent="0.6">
      <c r="B6" s="219"/>
      <c r="E6" s="219"/>
      <c r="F6" s="136"/>
      <c r="G6" s="340">
        <v>2</v>
      </c>
      <c r="H6" s="52">
        <v>3</v>
      </c>
      <c r="I6" s="340">
        <v>6</v>
      </c>
      <c r="J6" s="52">
        <v>7</v>
      </c>
      <c r="K6" s="340">
        <v>8</v>
      </c>
      <c r="L6" s="52">
        <v>9</v>
      </c>
      <c r="M6" s="340">
        <v>10</v>
      </c>
      <c r="N6" s="340">
        <v>12</v>
      </c>
      <c r="O6" s="52">
        <v>13</v>
      </c>
      <c r="P6" s="52">
        <v>15</v>
      </c>
      <c r="Q6" s="340">
        <v>16</v>
      </c>
      <c r="R6" s="52">
        <v>17</v>
      </c>
      <c r="S6" s="340">
        <v>18</v>
      </c>
      <c r="T6" s="52">
        <v>19</v>
      </c>
      <c r="U6" s="52"/>
      <c r="V6" s="340">
        <v>22</v>
      </c>
      <c r="W6" s="52">
        <v>23</v>
      </c>
      <c r="X6" s="340">
        <v>24</v>
      </c>
      <c r="Y6" s="52">
        <v>25</v>
      </c>
      <c r="Z6" s="340">
        <v>26</v>
      </c>
      <c r="AA6" s="52">
        <v>27</v>
      </c>
      <c r="AB6" s="52"/>
      <c r="AC6" s="52">
        <v>31</v>
      </c>
      <c r="AD6" s="52">
        <v>29</v>
      </c>
      <c r="AE6" s="340">
        <v>30</v>
      </c>
      <c r="AF6" s="340"/>
      <c r="AG6" s="340"/>
      <c r="AH6" s="340">
        <v>32</v>
      </c>
      <c r="AI6" s="52">
        <v>33</v>
      </c>
      <c r="AJ6" s="340">
        <v>34</v>
      </c>
      <c r="AK6" s="52">
        <v>35</v>
      </c>
      <c r="AL6" s="340">
        <v>36</v>
      </c>
      <c r="AM6" s="52">
        <v>37</v>
      </c>
      <c r="AN6" s="340">
        <v>38</v>
      </c>
      <c r="AO6" s="52">
        <v>39</v>
      </c>
      <c r="AP6" s="340">
        <v>40</v>
      </c>
      <c r="AQ6" s="52">
        <v>41</v>
      </c>
      <c r="AR6" s="340"/>
      <c r="AS6" s="340">
        <v>50</v>
      </c>
      <c r="AT6" s="52">
        <v>51</v>
      </c>
      <c r="AU6" s="340">
        <v>52</v>
      </c>
      <c r="AV6" s="52">
        <v>53</v>
      </c>
      <c r="AW6" s="340">
        <v>54</v>
      </c>
      <c r="AX6" s="52">
        <v>55</v>
      </c>
      <c r="AY6" s="340">
        <v>56</v>
      </c>
      <c r="AZ6" s="52">
        <v>57</v>
      </c>
      <c r="BA6" s="340">
        <v>58</v>
      </c>
      <c r="BB6" s="52">
        <v>59</v>
      </c>
      <c r="BC6" s="340">
        <v>60</v>
      </c>
      <c r="BD6" s="52">
        <v>61</v>
      </c>
      <c r="BE6" s="340">
        <v>62</v>
      </c>
      <c r="BF6" s="52">
        <v>63</v>
      </c>
      <c r="BG6" s="340">
        <v>64</v>
      </c>
      <c r="BH6" s="52">
        <v>65</v>
      </c>
    </row>
    <row r="7" spans="1:114" s="344" customFormat="1" ht="20.05" customHeight="1" x14ac:dyDescent="0.6">
      <c r="B7" s="452" t="s">
        <v>286</v>
      </c>
      <c r="C7" s="453"/>
      <c r="D7" s="453"/>
      <c r="E7" s="454"/>
      <c r="F7" s="136"/>
      <c r="G7" s="443"/>
      <c r="H7" s="444"/>
      <c r="I7" s="444" t="s">
        <v>121</v>
      </c>
      <c r="J7" s="444"/>
      <c r="K7" s="444"/>
      <c r="L7" s="444"/>
      <c r="M7" s="444" t="s">
        <v>122</v>
      </c>
      <c r="N7" s="444"/>
      <c r="O7" s="444"/>
      <c r="P7" s="444"/>
      <c r="Q7" s="444"/>
      <c r="R7" s="444"/>
      <c r="S7" s="444"/>
      <c r="T7" s="444"/>
      <c r="U7" s="229"/>
      <c r="V7" s="444"/>
      <c r="W7" s="449"/>
      <c r="X7" s="230"/>
      <c r="Y7" s="444" t="s">
        <v>300</v>
      </c>
      <c r="Z7" s="444"/>
      <c r="AA7" s="444"/>
      <c r="AB7" s="444"/>
      <c r="AC7" s="444"/>
      <c r="AD7" s="444"/>
      <c r="AE7" s="444"/>
      <c r="AF7" s="444"/>
      <c r="AG7" s="444"/>
      <c r="AH7" s="230"/>
      <c r="AI7" s="443" t="s">
        <v>137</v>
      </c>
      <c r="AJ7" s="444"/>
      <c r="AK7" s="444"/>
      <c r="AL7" s="444"/>
      <c r="AM7" s="444"/>
      <c r="AN7" s="444"/>
      <c r="AO7" s="444"/>
      <c r="AP7" s="444"/>
      <c r="AQ7" s="449"/>
      <c r="AR7" s="402"/>
      <c r="AS7" s="443" t="s">
        <v>140</v>
      </c>
      <c r="AT7" s="444"/>
      <c r="AU7" s="444"/>
      <c r="AV7" s="444"/>
      <c r="AW7" s="449"/>
      <c r="AX7" s="443" t="s">
        <v>141</v>
      </c>
      <c r="AY7" s="444"/>
      <c r="AZ7" s="444"/>
      <c r="BA7" s="444"/>
      <c r="BB7" s="449"/>
      <c r="BC7" s="443" t="s">
        <v>139</v>
      </c>
      <c r="BD7" s="444"/>
      <c r="BE7" s="444"/>
      <c r="BF7" s="444"/>
      <c r="BG7" s="444"/>
      <c r="BH7" s="413" t="s">
        <v>341</v>
      </c>
      <c r="BI7" s="230"/>
      <c r="BJ7" s="433" t="s">
        <v>285</v>
      </c>
      <c r="BK7" s="230"/>
      <c r="BL7" s="402"/>
    </row>
    <row r="8" spans="1:114" s="344" customFormat="1" ht="20.05" customHeight="1" x14ac:dyDescent="0.6">
      <c r="B8" s="455"/>
      <c r="C8" s="456"/>
      <c r="D8" s="456"/>
      <c r="E8" s="457"/>
      <c r="F8" s="136"/>
      <c r="G8" s="231" t="s">
        <v>23</v>
      </c>
      <c r="H8" s="232" t="s">
        <v>24</v>
      </c>
      <c r="I8" s="232" t="s">
        <v>121</v>
      </c>
      <c r="J8" s="232" t="s">
        <v>124</v>
      </c>
      <c r="K8" s="232" t="s">
        <v>125</v>
      </c>
      <c r="L8" s="232" t="s">
        <v>126</v>
      </c>
      <c r="M8" s="232" t="s">
        <v>308</v>
      </c>
      <c r="N8" s="232" t="s">
        <v>309</v>
      </c>
      <c r="O8" s="232" t="s">
        <v>310</v>
      </c>
      <c r="P8" s="232" t="s">
        <v>281</v>
      </c>
      <c r="Q8" s="232" t="s">
        <v>311</v>
      </c>
      <c r="R8" s="232" t="s">
        <v>312</v>
      </c>
      <c r="S8" s="232" t="s">
        <v>313</v>
      </c>
      <c r="T8" s="232" t="s">
        <v>314</v>
      </c>
      <c r="U8" s="232" t="s">
        <v>315</v>
      </c>
      <c r="V8" s="232" t="s">
        <v>316</v>
      </c>
      <c r="W8" s="233" t="s">
        <v>150</v>
      </c>
      <c r="X8" s="230"/>
      <c r="Y8" s="232" t="s">
        <v>130</v>
      </c>
      <c r="Z8" s="232" t="s">
        <v>317</v>
      </c>
      <c r="AA8" s="232" t="s">
        <v>318</v>
      </c>
      <c r="AB8" s="232" t="s">
        <v>319</v>
      </c>
      <c r="AC8" s="232" t="s">
        <v>343</v>
      </c>
      <c r="AD8" s="232" t="s">
        <v>320</v>
      </c>
      <c r="AE8" s="232" t="s">
        <v>321</v>
      </c>
      <c r="AF8" s="232" t="s">
        <v>322</v>
      </c>
      <c r="AG8" s="425" t="s">
        <v>345</v>
      </c>
      <c r="AH8" s="230"/>
      <c r="AI8" s="426" t="s">
        <v>324</v>
      </c>
      <c r="AJ8" s="425" t="s">
        <v>325</v>
      </c>
      <c r="AK8" s="425" t="s">
        <v>326</v>
      </c>
      <c r="AL8" s="425" t="s">
        <v>327</v>
      </c>
      <c r="AM8" s="425" t="s">
        <v>328</v>
      </c>
      <c r="AN8" s="425" t="s">
        <v>329</v>
      </c>
      <c r="AO8" s="425" t="s">
        <v>330</v>
      </c>
      <c r="AP8" s="425" t="s">
        <v>331</v>
      </c>
      <c r="AQ8" s="427" t="s">
        <v>332</v>
      </c>
      <c r="AR8" s="402"/>
      <c r="AS8" s="426" t="s">
        <v>163</v>
      </c>
      <c r="AT8" s="425" t="s">
        <v>164</v>
      </c>
      <c r="AU8" s="425" t="s">
        <v>165</v>
      </c>
      <c r="AV8" s="425" t="s">
        <v>166</v>
      </c>
      <c r="AW8" s="427" t="s">
        <v>167</v>
      </c>
      <c r="AX8" s="426" t="s">
        <v>163</v>
      </c>
      <c r="AY8" s="425" t="s">
        <v>164</v>
      </c>
      <c r="AZ8" s="425" t="s">
        <v>165</v>
      </c>
      <c r="BA8" s="425" t="s">
        <v>166</v>
      </c>
      <c r="BB8" s="427" t="s">
        <v>167</v>
      </c>
      <c r="BC8" s="426" t="s">
        <v>163</v>
      </c>
      <c r="BD8" s="425" t="s">
        <v>164</v>
      </c>
      <c r="BE8" s="425" t="s">
        <v>165</v>
      </c>
      <c r="BF8" s="425" t="s">
        <v>166</v>
      </c>
      <c r="BG8" s="425" t="s">
        <v>167</v>
      </c>
      <c r="BH8" s="416" t="s">
        <v>284</v>
      </c>
      <c r="BI8" s="230"/>
      <c r="BJ8" s="431"/>
      <c r="BK8" s="230"/>
      <c r="BL8" s="402"/>
    </row>
    <row r="9" spans="1:114" s="344" customFormat="1" ht="20.05" customHeight="1" x14ac:dyDescent="0.6">
      <c r="B9" s="458"/>
      <c r="C9" s="459"/>
      <c r="D9" s="459"/>
      <c r="E9" s="460"/>
      <c r="F9" s="136"/>
      <c r="G9" s="235" t="s">
        <v>39</v>
      </c>
      <c r="H9" s="236" t="s">
        <v>39</v>
      </c>
      <c r="I9" s="236" t="s">
        <v>39</v>
      </c>
      <c r="J9" s="236" t="s">
        <v>40</v>
      </c>
      <c r="K9" s="236" t="s">
        <v>40</v>
      </c>
      <c r="L9" s="236" t="s">
        <v>40</v>
      </c>
      <c r="M9" s="236" t="s">
        <v>41</v>
      </c>
      <c r="N9" s="236" t="s">
        <v>43</v>
      </c>
      <c r="O9" s="236" t="s">
        <v>43</v>
      </c>
      <c r="P9" s="236" t="s">
        <v>39</v>
      </c>
      <c r="Q9" s="236" t="s">
        <v>132</v>
      </c>
      <c r="R9" s="236" t="s">
        <v>132</v>
      </c>
      <c r="S9" s="236" t="s">
        <v>132</v>
      </c>
      <c r="T9" s="236" t="s">
        <v>132</v>
      </c>
      <c r="U9" s="236" t="s">
        <v>132</v>
      </c>
      <c r="V9" s="236" t="s">
        <v>39</v>
      </c>
      <c r="W9" s="237" t="s">
        <v>39</v>
      </c>
      <c r="X9" s="230"/>
      <c r="Y9" s="236" t="s">
        <v>39</v>
      </c>
      <c r="Z9" s="236" t="s">
        <v>39</v>
      </c>
      <c r="AA9" s="236" t="s">
        <v>39</v>
      </c>
      <c r="AB9" s="236" t="s">
        <v>39</v>
      </c>
      <c r="AC9" s="236" t="s">
        <v>39</v>
      </c>
      <c r="AD9" s="236" t="s">
        <v>134</v>
      </c>
      <c r="AE9" s="236" t="s">
        <v>134</v>
      </c>
      <c r="AF9" s="236" t="s">
        <v>134</v>
      </c>
      <c r="AG9" s="428" t="s">
        <v>135</v>
      </c>
      <c r="AH9" s="239">
        <v>1</v>
      </c>
      <c r="AI9" s="429" t="s">
        <v>133</v>
      </c>
      <c r="AJ9" s="428" t="s">
        <v>43</v>
      </c>
      <c r="AK9" s="428" t="s">
        <v>133</v>
      </c>
      <c r="AL9" s="428" t="s">
        <v>43</v>
      </c>
      <c r="AM9" s="428" t="s">
        <v>133</v>
      </c>
      <c r="AN9" s="428" t="s">
        <v>43</v>
      </c>
      <c r="AO9" s="428" t="s">
        <v>133</v>
      </c>
      <c r="AP9" s="428" t="s">
        <v>43</v>
      </c>
      <c r="AQ9" s="430" t="s">
        <v>135</v>
      </c>
      <c r="AR9" s="402"/>
      <c r="AS9" s="429" t="s">
        <v>39</v>
      </c>
      <c r="AT9" s="428" t="s">
        <v>39</v>
      </c>
      <c r="AU9" s="428" t="s">
        <v>39</v>
      </c>
      <c r="AV9" s="428" t="s">
        <v>39</v>
      </c>
      <c r="AW9" s="430" t="s">
        <v>39</v>
      </c>
      <c r="AX9" s="429" t="s">
        <v>39</v>
      </c>
      <c r="AY9" s="428" t="s">
        <v>39</v>
      </c>
      <c r="AZ9" s="428" t="s">
        <v>39</v>
      </c>
      <c r="BA9" s="428" t="s">
        <v>39</v>
      </c>
      <c r="BB9" s="430" t="s">
        <v>39</v>
      </c>
      <c r="BC9" s="429" t="s">
        <v>39</v>
      </c>
      <c r="BD9" s="428" t="s">
        <v>39</v>
      </c>
      <c r="BE9" s="428" t="s">
        <v>39</v>
      </c>
      <c r="BF9" s="428" t="s">
        <v>39</v>
      </c>
      <c r="BG9" s="428" t="s">
        <v>39</v>
      </c>
      <c r="BH9" s="420" t="s">
        <v>349</v>
      </c>
      <c r="BI9" s="230"/>
      <c r="BJ9" s="432"/>
      <c r="BK9" s="230"/>
      <c r="BL9" s="402"/>
    </row>
    <row r="10" spans="1:114" s="344" customFormat="1" ht="20.05" customHeight="1" x14ac:dyDescent="0.6">
      <c r="B10" s="135"/>
      <c r="C10" s="137"/>
      <c r="D10" s="137"/>
      <c r="E10" s="220"/>
      <c r="F10" s="136"/>
      <c r="G10" s="267" t="s">
        <v>45</v>
      </c>
      <c r="H10" s="270" t="s">
        <v>113</v>
      </c>
      <c r="I10" s="270" t="s">
        <v>136</v>
      </c>
      <c r="J10" s="241">
        <v>3.6</v>
      </c>
      <c r="K10" s="241">
        <v>0.6</v>
      </c>
      <c r="L10" s="241">
        <v>0.6</v>
      </c>
      <c r="M10" s="268">
        <v>2400</v>
      </c>
      <c r="N10" s="268">
        <v>30</v>
      </c>
      <c r="O10" s="268">
        <v>40</v>
      </c>
      <c r="P10" s="268" t="s">
        <v>177</v>
      </c>
      <c r="Q10" s="243">
        <f>IF(P10="","",VLOOKUP(P10,'Listen und Kennwerte'!$B$4:$O$11,2,FALSE))</f>
        <v>24</v>
      </c>
      <c r="R10" s="243">
        <f>IF(P10="","",VLOOKUP(P10,'Listen und Kennwerte'!$B$4:$O$11,2,FALSE))</f>
        <v>24</v>
      </c>
      <c r="S10" s="246">
        <f>IF(P10="","",VLOOKUP(P10,'Listen und Kennwerte'!$B$4:$O$11,8,FALSE))</f>
        <v>11500</v>
      </c>
      <c r="T10" s="246">
        <f>IF(P10="","",VLOOKUP(P10,'Listen und Kennwerte'!$B$4:$O$11,9,FALSE))</f>
        <v>9600</v>
      </c>
      <c r="U10" s="246">
        <f>IF(P10="","",VLOOKUP(P10,'Listen und Kennwerte'!$B$4:$O$11,12,FALSE))</f>
        <v>540</v>
      </c>
      <c r="V10" s="241">
        <v>0.6</v>
      </c>
      <c r="W10" s="242">
        <v>1.3</v>
      </c>
      <c r="X10" s="230"/>
      <c r="Y10" s="275">
        <v>20.78</v>
      </c>
      <c r="Z10" s="274">
        <v>0.33</v>
      </c>
      <c r="AA10" s="274">
        <v>1</v>
      </c>
      <c r="AB10" s="274">
        <v>1</v>
      </c>
      <c r="AC10" s="276" t="s">
        <v>304</v>
      </c>
      <c r="AD10" s="276">
        <v>6666.666666666667</v>
      </c>
      <c r="AE10" s="276">
        <v>833.33</v>
      </c>
      <c r="AF10" s="276">
        <v>1111.1099999999999</v>
      </c>
      <c r="AG10" s="213">
        <v>0.75</v>
      </c>
      <c r="AH10" s="239"/>
      <c r="AI10" s="249">
        <v>0</v>
      </c>
      <c r="AJ10" s="251">
        <v>30</v>
      </c>
      <c r="AK10" s="251">
        <v>0.4</v>
      </c>
      <c r="AL10" s="251">
        <v>31.02</v>
      </c>
      <c r="AM10" s="251">
        <v>9</v>
      </c>
      <c r="AN10" s="251">
        <v>61.599999999999994</v>
      </c>
      <c r="AO10" s="251">
        <v>9.8000000000000007</v>
      </c>
      <c r="AP10" s="251">
        <v>63.7</v>
      </c>
      <c r="AQ10" s="203">
        <v>0.57642000000000004</v>
      </c>
      <c r="AR10" s="417"/>
      <c r="AS10" s="345" t="s">
        <v>247</v>
      </c>
      <c r="AT10" s="345" t="s">
        <v>247</v>
      </c>
      <c r="AU10" s="345" t="s">
        <v>246</v>
      </c>
      <c r="AV10" s="345"/>
      <c r="AW10" s="346"/>
      <c r="AX10" s="345">
        <v>0.5</v>
      </c>
      <c r="AY10" s="345">
        <v>0.6</v>
      </c>
      <c r="AZ10" s="345">
        <v>0.6</v>
      </c>
      <c r="BA10" s="345"/>
      <c r="BB10" s="345"/>
      <c r="BC10" s="326">
        <v>1.37</v>
      </c>
      <c r="BD10" s="327">
        <v>0.78</v>
      </c>
      <c r="BE10" s="327">
        <v>0.88</v>
      </c>
      <c r="BF10" s="327"/>
      <c r="BG10" s="327"/>
      <c r="BH10" s="419" t="s">
        <v>346</v>
      </c>
      <c r="BI10" s="422"/>
      <c r="BJ10" s="328"/>
      <c r="BK10" s="422"/>
      <c r="BL10" s="434">
        <f>IF(AQ10="","",MAX(AG10,AQ10))</f>
        <v>0.75</v>
      </c>
      <c r="DJ10" s="344">
        <v>0.98</v>
      </c>
    </row>
    <row r="11" spans="1:114" s="344" customFormat="1" ht="20.05" customHeight="1" x14ac:dyDescent="0.6">
      <c r="B11" s="348" t="s">
        <v>366</v>
      </c>
      <c r="C11" s="298"/>
      <c r="D11" s="299"/>
      <c r="E11" s="341"/>
      <c r="F11" s="136"/>
      <c r="G11" s="254" t="s">
        <v>50</v>
      </c>
      <c r="H11" s="259" t="s">
        <v>113</v>
      </c>
      <c r="I11" s="259" t="s">
        <v>136</v>
      </c>
      <c r="J11" s="255">
        <v>8.3000000000000007</v>
      </c>
      <c r="K11" s="255">
        <v>0.7</v>
      </c>
      <c r="L11" s="255">
        <v>0.7</v>
      </c>
      <c r="M11" s="257">
        <v>4774.3053671890257</v>
      </c>
      <c r="N11" s="257">
        <v>0</v>
      </c>
      <c r="O11" s="257">
        <v>0</v>
      </c>
      <c r="P11" s="257" t="s">
        <v>246</v>
      </c>
      <c r="Q11" s="257">
        <f>IF(P11="","",VLOOKUP(P11,'Listen und Kennwerte'!$B$4:$O$11,2,FALSE))</f>
        <v>28</v>
      </c>
      <c r="R11" s="257">
        <f>IF(P11="","",VLOOKUP(P11,'Listen und Kennwerte'!$B$4:$O$11,2,FALSE))</f>
        <v>28</v>
      </c>
      <c r="S11" s="260">
        <f>IF(P11="","",VLOOKUP(P11,'Listen und Kennwerte'!$B$4:$O$11,8,FALSE))</f>
        <v>12500</v>
      </c>
      <c r="T11" s="260">
        <f>IF(P11="","",VLOOKUP(P11,'Listen und Kennwerte'!$B$4:$O$11,9,FALSE))</f>
        <v>10400</v>
      </c>
      <c r="U11" s="260">
        <f>IF(P11="","",VLOOKUP(P11,'Listen und Kennwerte'!$B$4:$O$11,12,FALSE))</f>
        <v>540</v>
      </c>
      <c r="V11" s="255">
        <v>0.6</v>
      </c>
      <c r="W11" s="256">
        <v>1.3</v>
      </c>
      <c r="X11" s="230"/>
      <c r="Y11" s="264">
        <v>41.07</v>
      </c>
      <c r="Z11" s="263">
        <v>0.68</v>
      </c>
      <c r="AA11" s="263">
        <v>0.94</v>
      </c>
      <c r="AB11" s="263">
        <v>1</v>
      </c>
      <c r="AC11" s="265" t="s">
        <v>304</v>
      </c>
      <c r="AD11" s="265">
        <v>9743.4803412020938</v>
      </c>
      <c r="AE11" s="265">
        <v>0</v>
      </c>
      <c r="AF11" s="265">
        <v>0</v>
      </c>
      <c r="AG11" s="208">
        <v>0.8</v>
      </c>
      <c r="AH11" s="239"/>
      <c r="AI11" s="262">
        <v>20.75</v>
      </c>
      <c r="AJ11" s="264">
        <v>99.066836369172293</v>
      </c>
      <c r="AK11" s="264">
        <v>25.05</v>
      </c>
      <c r="AL11" s="264">
        <v>119.82</v>
      </c>
      <c r="AM11" s="264">
        <v>0</v>
      </c>
      <c r="AN11" s="264">
        <v>0</v>
      </c>
      <c r="AO11" s="264">
        <v>0</v>
      </c>
      <c r="AP11" s="264">
        <v>0</v>
      </c>
      <c r="AQ11" s="209">
        <v>0.73064399999999996</v>
      </c>
      <c r="AR11" s="417"/>
      <c r="AS11" s="349" t="s">
        <v>247</v>
      </c>
      <c r="AT11" s="350" t="s">
        <v>247</v>
      </c>
      <c r="AU11" s="350" t="s">
        <v>247</v>
      </c>
      <c r="AV11" s="350" t="s">
        <v>246</v>
      </c>
      <c r="AW11" s="351"/>
      <c r="AX11" s="350">
        <v>0.5</v>
      </c>
      <c r="AY11" s="350">
        <v>0.6</v>
      </c>
      <c r="AZ11" s="350">
        <v>0.7</v>
      </c>
      <c r="BA11" s="350">
        <v>0.7</v>
      </c>
      <c r="BB11" s="350"/>
      <c r="BC11" s="329">
        <v>2.42</v>
      </c>
      <c r="BD11" s="330">
        <v>1.06</v>
      </c>
      <c r="BE11" s="330">
        <v>0.71</v>
      </c>
      <c r="BF11" s="330">
        <v>0.8</v>
      </c>
      <c r="BG11" s="330"/>
      <c r="BH11" s="418" t="s">
        <v>346</v>
      </c>
      <c r="BI11" s="422"/>
      <c r="BJ11" s="331" t="s">
        <v>36</v>
      </c>
      <c r="BK11" s="422"/>
      <c r="BL11" s="434">
        <f t="shared" ref="BL11:BL72" si="0">IF(AQ11="","",MAX(AG11,AQ11))</f>
        <v>0.8</v>
      </c>
    </row>
    <row r="12" spans="1:114" s="344" customFormat="1" ht="20.05" customHeight="1" x14ac:dyDescent="0.6">
      <c r="B12" s="348" t="s">
        <v>365</v>
      </c>
      <c r="C12" s="298"/>
      <c r="D12" s="299"/>
      <c r="E12" s="341"/>
      <c r="F12" s="136"/>
      <c r="G12" s="267" t="s">
        <v>51</v>
      </c>
      <c r="H12" s="270" t="s">
        <v>113</v>
      </c>
      <c r="I12" s="270" t="s">
        <v>136</v>
      </c>
      <c r="J12" s="241">
        <v>8.3000000000000007</v>
      </c>
      <c r="K12" s="241">
        <v>0.55000000000000004</v>
      </c>
      <c r="L12" s="241">
        <v>0.55000000000000004</v>
      </c>
      <c r="M12" s="268">
        <v>2869.1975343185418</v>
      </c>
      <c r="N12" s="268">
        <v>0</v>
      </c>
      <c r="O12" s="268">
        <v>0</v>
      </c>
      <c r="P12" s="268" t="s">
        <v>246</v>
      </c>
      <c r="Q12" s="268">
        <f>IF(P12="","",VLOOKUP(P12,'Listen und Kennwerte'!$B$4:$O$11,2,FALSE))</f>
        <v>28</v>
      </c>
      <c r="R12" s="268">
        <f>IF(P12="","",VLOOKUP(P12,'Listen und Kennwerte'!$B$4:$O$11,2,FALSE))</f>
        <v>28</v>
      </c>
      <c r="S12" s="271">
        <f>IF(P12="","",VLOOKUP(P12,'Listen und Kennwerte'!$B$4:$O$11,8,FALSE))</f>
        <v>12500</v>
      </c>
      <c r="T12" s="271">
        <f>IF(P12="","",VLOOKUP(P12,'Listen und Kennwerte'!$B$4:$O$11,9,FALSE))</f>
        <v>10400</v>
      </c>
      <c r="U12" s="271">
        <f>IF(P12="","",VLOOKUP(P12,'Listen und Kennwerte'!$B$4:$O$11,12,FALSE))</f>
        <v>540</v>
      </c>
      <c r="V12" s="241">
        <v>0.6</v>
      </c>
      <c r="W12" s="242">
        <v>1.3</v>
      </c>
      <c r="X12" s="230"/>
      <c r="Y12" s="275">
        <v>52.28</v>
      </c>
      <c r="Z12" s="274">
        <v>0.86</v>
      </c>
      <c r="AA12" s="274">
        <v>0.86</v>
      </c>
      <c r="AB12" s="274">
        <v>1</v>
      </c>
      <c r="AC12" s="276" t="s">
        <v>304</v>
      </c>
      <c r="AD12" s="276">
        <v>9484.9505266728647</v>
      </c>
      <c r="AE12" s="276">
        <v>0</v>
      </c>
      <c r="AF12" s="276">
        <v>0</v>
      </c>
      <c r="AG12" s="213">
        <v>0.85</v>
      </c>
      <c r="AH12" s="239"/>
      <c r="AI12" s="273">
        <v>20.75</v>
      </c>
      <c r="AJ12" s="275">
        <v>59.535848837109747</v>
      </c>
      <c r="AK12" s="275">
        <v>28.45</v>
      </c>
      <c r="AL12" s="275">
        <v>81.87</v>
      </c>
      <c r="AM12" s="275">
        <v>0</v>
      </c>
      <c r="AN12" s="275">
        <v>0</v>
      </c>
      <c r="AO12" s="275">
        <v>0</v>
      </c>
      <c r="AP12" s="275">
        <v>0</v>
      </c>
      <c r="AQ12" s="214">
        <v>0.76715599999999995</v>
      </c>
      <c r="AR12" s="417"/>
      <c r="AS12" s="352" t="s">
        <v>247</v>
      </c>
      <c r="AT12" s="353" t="s">
        <v>247</v>
      </c>
      <c r="AU12" s="353" t="s">
        <v>246</v>
      </c>
      <c r="AV12" s="353"/>
      <c r="AW12" s="354"/>
      <c r="AX12" s="353">
        <v>0.5</v>
      </c>
      <c r="AY12" s="353">
        <v>0.55000000000000004</v>
      </c>
      <c r="AZ12" s="353">
        <v>0.55000000000000004</v>
      </c>
      <c r="BA12" s="353"/>
      <c r="BB12" s="353"/>
      <c r="BC12" s="332">
        <v>1</v>
      </c>
      <c r="BD12" s="333">
        <v>0.76</v>
      </c>
      <c r="BE12" s="333">
        <v>0.85</v>
      </c>
      <c r="BF12" s="333"/>
      <c r="BG12" s="333"/>
      <c r="BH12" s="423" t="s">
        <v>346</v>
      </c>
      <c r="BI12" s="422"/>
      <c r="BJ12" s="334"/>
      <c r="BK12" s="422"/>
      <c r="BL12" s="434">
        <f t="shared" si="0"/>
        <v>0.85</v>
      </c>
    </row>
    <row r="13" spans="1:114" s="344" customFormat="1" ht="20.05" customHeight="1" x14ac:dyDescent="0.6">
      <c r="B13" s="355" t="s">
        <v>24</v>
      </c>
      <c r="C13" s="298"/>
      <c r="D13" s="302" t="s">
        <v>113</v>
      </c>
      <c r="E13" s="341"/>
      <c r="F13" s="136"/>
      <c r="G13" s="254" t="s">
        <v>52</v>
      </c>
      <c r="H13" s="259" t="s">
        <v>113</v>
      </c>
      <c r="I13" s="259" t="s">
        <v>136</v>
      </c>
      <c r="J13" s="255">
        <v>8.3000000000000007</v>
      </c>
      <c r="K13" s="255">
        <v>0.55000000000000004</v>
      </c>
      <c r="L13" s="255">
        <v>0.55000000000000004</v>
      </c>
      <c r="M13" s="257">
        <v>2840.8505740982027</v>
      </c>
      <c r="N13" s="257">
        <v>0</v>
      </c>
      <c r="O13" s="257">
        <v>0</v>
      </c>
      <c r="P13" s="257" t="s">
        <v>246</v>
      </c>
      <c r="Q13" s="257">
        <f>IF(P13="","",VLOOKUP(P13,'Listen und Kennwerte'!$B$4:$O$11,2,FALSE))</f>
        <v>28</v>
      </c>
      <c r="R13" s="257">
        <f>IF(P13="","",VLOOKUP(P13,'Listen und Kennwerte'!$B$4:$O$11,2,FALSE))</f>
        <v>28</v>
      </c>
      <c r="S13" s="260">
        <f>IF(P13="","",VLOOKUP(P13,'Listen und Kennwerte'!$B$4:$O$11,8,FALSE))</f>
        <v>12500</v>
      </c>
      <c r="T13" s="260">
        <f>IF(P13="","",VLOOKUP(P13,'Listen und Kennwerte'!$B$4:$O$11,9,FALSE))</f>
        <v>10400</v>
      </c>
      <c r="U13" s="260">
        <f>IF(P13="","",VLOOKUP(P13,'Listen und Kennwerte'!$B$4:$O$11,12,FALSE))</f>
        <v>540</v>
      </c>
      <c r="V13" s="255">
        <v>0.6</v>
      </c>
      <c r="W13" s="256">
        <v>1.3</v>
      </c>
      <c r="X13" s="230"/>
      <c r="Y13" s="264">
        <v>52.28</v>
      </c>
      <c r="Z13" s="263">
        <v>0.86</v>
      </c>
      <c r="AA13" s="263">
        <v>0.86</v>
      </c>
      <c r="AB13" s="263">
        <v>1</v>
      </c>
      <c r="AC13" s="265" t="s">
        <v>304</v>
      </c>
      <c r="AD13" s="265">
        <v>9391.2415672667848</v>
      </c>
      <c r="AE13" s="265">
        <v>0</v>
      </c>
      <c r="AF13" s="265">
        <v>0</v>
      </c>
      <c r="AG13" s="208">
        <v>0.85</v>
      </c>
      <c r="AH13" s="239"/>
      <c r="AI13" s="262">
        <v>20.75</v>
      </c>
      <c r="AJ13" s="264">
        <v>58.947649412537707</v>
      </c>
      <c r="AK13" s="264">
        <v>28.35</v>
      </c>
      <c r="AL13" s="264">
        <v>80.78</v>
      </c>
      <c r="AM13" s="264">
        <v>0</v>
      </c>
      <c r="AN13" s="264">
        <v>0</v>
      </c>
      <c r="AO13" s="264">
        <v>0</v>
      </c>
      <c r="AP13" s="264">
        <v>0</v>
      </c>
      <c r="AQ13" s="209">
        <v>0.75352200000000003</v>
      </c>
      <c r="AR13" s="417"/>
      <c r="AS13" s="349" t="s">
        <v>247</v>
      </c>
      <c r="AT13" s="350" t="s">
        <v>247</v>
      </c>
      <c r="AU13" s="350" t="s">
        <v>246</v>
      </c>
      <c r="AV13" s="350"/>
      <c r="AW13" s="351"/>
      <c r="AX13" s="350">
        <v>0.5</v>
      </c>
      <c r="AY13" s="350">
        <v>0.55000000000000004</v>
      </c>
      <c r="AZ13" s="350">
        <v>0.55000000000000004</v>
      </c>
      <c r="BA13" s="350"/>
      <c r="BB13" s="350"/>
      <c r="BC13" s="329">
        <v>0.99</v>
      </c>
      <c r="BD13" s="330">
        <v>0.75</v>
      </c>
      <c r="BE13" s="330">
        <v>0.85</v>
      </c>
      <c r="BF13" s="330"/>
      <c r="BG13" s="330"/>
      <c r="BH13" s="418" t="s">
        <v>346</v>
      </c>
      <c r="BI13" s="422"/>
      <c r="BJ13" s="331" t="s">
        <v>36</v>
      </c>
      <c r="BK13" s="422"/>
      <c r="BL13" s="434">
        <f t="shared" si="0"/>
        <v>0.85</v>
      </c>
    </row>
    <row r="14" spans="1:114" s="344" customFormat="1" ht="20.05" customHeight="1" x14ac:dyDescent="0.6">
      <c r="B14" s="348"/>
      <c r="C14" s="298"/>
      <c r="D14" s="299"/>
      <c r="E14" s="341"/>
      <c r="F14" s="136"/>
      <c r="G14" s="267" t="s">
        <v>53</v>
      </c>
      <c r="H14" s="270" t="s">
        <v>113</v>
      </c>
      <c r="I14" s="270" t="s">
        <v>136</v>
      </c>
      <c r="J14" s="241">
        <v>8.3000000000000007</v>
      </c>
      <c r="K14" s="241">
        <v>0.55000000000000004</v>
      </c>
      <c r="L14" s="241">
        <v>0.55000000000000004</v>
      </c>
      <c r="M14" s="268">
        <v>2887.6283711868268</v>
      </c>
      <c r="N14" s="268">
        <v>0</v>
      </c>
      <c r="O14" s="268">
        <v>0</v>
      </c>
      <c r="P14" s="268" t="s">
        <v>246</v>
      </c>
      <c r="Q14" s="268">
        <f>IF(P14="","",VLOOKUP(P14,'Listen und Kennwerte'!$B$4:$O$11,2,FALSE))</f>
        <v>28</v>
      </c>
      <c r="R14" s="268">
        <f>IF(P14="","",VLOOKUP(P14,'Listen und Kennwerte'!$B$4:$O$11,2,FALSE))</f>
        <v>28</v>
      </c>
      <c r="S14" s="271">
        <f>IF(P14="","",VLOOKUP(P14,'Listen und Kennwerte'!$B$4:$O$11,8,FALSE))</f>
        <v>12500</v>
      </c>
      <c r="T14" s="271">
        <f>IF(P14="","",VLOOKUP(P14,'Listen und Kennwerte'!$B$4:$O$11,9,FALSE))</f>
        <v>10400</v>
      </c>
      <c r="U14" s="271">
        <f>IF(P14="","",VLOOKUP(P14,'Listen und Kennwerte'!$B$4:$O$11,12,FALSE))</f>
        <v>540</v>
      </c>
      <c r="V14" s="241">
        <v>0.6</v>
      </c>
      <c r="W14" s="242">
        <v>1.3</v>
      </c>
      <c r="X14" s="230"/>
      <c r="Y14" s="275">
        <v>52.28</v>
      </c>
      <c r="Z14" s="274">
        <v>0.86</v>
      </c>
      <c r="AA14" s="274">
        <v>0.86</v>
      </c>
      <c r="AB14" s="274">
        <v>1</v>
      </c>
      <c r="AC14" s="276" t="s">
        <v>304</v>
      </c>
      <c r="AD14" s="276">
        <v>9545.8789130143014</v>
      </c>
      <c r="AE14" s="276">
        <v>0</v>
      </c>
      <c r="AF14" s="276">
        <v>0</v>
      </c>
      <c r="AG14" s="213">
        <v>0.86</v>
      </c>
      <c r="AH14" s="239"/>
      <c r="AI14" s="273">
        <v>20.75</v>
      </c>
      <c r="AJ14" s="275">
        <v>59.918288702126659</v>
      </c>
      <c r="AK14" s="275">
        <v>28.55</v>
      </c>
      <c r="AL14" s="275">
        <v>82.6</v>
      </c>
      <c r="AM14" s="275">
        <v>0</v>
      </c>
      <c r="AN14" s="275">
        <v>0</v>
      </c>
      <c r="AO14" s="275">
        <v>0</v>
      </c>
      <c r="AP14" s="275">
        <v>0</v>
      </c>
      <c r="AQ14" s="214">
        <v>0.77613500000000002</v>
      </c>
      <c r="AR14" s="417"/>
      <c r="AS14" s="352" t="s">
        <v>247</v>
      </c>
      <c r="AT14" s="353" t="s">
        <v>247</v>
      </c>
      <c r="AU14" s="353" t="s">
        <v>246</v>
      </c>
      <c r="AV14" s="353"/>
      <c r="AW14" s="354"/>
      <c r="AX14" s="353">
        <v>0.5</v>
      </c>
      <c r="AY14" s="353">
        <v>0.55000000000000004</v>
      </c>
      <c r="AZ14" s="353">
        <v>0.55000000000000004</v>
      </c>
      <c r="BA14" s="353"/>
      <c r="BB14" s="353"/>
      <c r="BC14" s="332">
        <v>1</v>
      </c>
      <c r="BD14" s="333">
        <v>0.76</v>
      </c>
      <c r="BE14" s="333">
        <v>0.86</v>
      </c>
      <c r="BF14" s="333"/>
      <c r="BG14" s="333"/>
      <c r="BH14" s="423" t="s">
        <v>346</v>
      </c>
      <c r="BI14" s="422"/>
      <c r="BJ14" s="334" t="s">
        <v>36</v>
      </c>
      <c r="BK14" s="422"/>
      <c r="BL14" s="434">
        <f t="shared" si="0"/>
        <v>0.86</v>
      </c>
    </row>
    <row r="15" spans="1:114" s="344" customFormat="1" ht="20.05" customHeight="1" x14ac:dyDescent="0.6">
      <c r="B15" s="342" t="s">
        <v>344</v>
      </c>
      <c r="C15" s="298"/>
      <c r="D15" s="299"/>
      <c r="E15" s="341"/>
      <c r="F15" s="136"/>
      <c r="G15" s="254" t="s">
        <v>54</v>
      </c>
      <c r="H15" s="259" t="s">
        <v>113</v>
      </c>
      <c r="I15" s="259" t="s">
        <v>136</v>
      </c>
      <c r="J15" s="255">
        <v>3.5999999999999996</v>
      </c>
      <c r="K15" s="255">
        <v>0.6</v>
      </c>
      <c r="L15" s="255">
        <v>0.6</v>
      </c>
      <c r="M15" s="257">
        <v>2955.0453920745863</v>
      </c>
      <c r="N15" s="257">
        <v>85.5</v>
      </c>
      <c r="O15" s="257">
        <v>0</v>
      </c>
      <c r="P15" s="257" t="s">
        <v>246</v>
      </c>
      <c r="Q15" s="257">
        <f>IF(P15="","",VLOOKUP(P15,'Listen und Kennwerte'!$B$4:$O$11,2,FALSE))</f>
        <v>28</v>
      </c>
      <c r="R15" s="257">
        <f>IF(P15="","",VLOOKUP(P15,'Listen und Kennwerte'!$B$4:$O$11,2,FALSE))</f>
        <v>28</v>
      </c>
      <c r="S15" s="260">
        <f>IF(P15="","",VLOOKUP(P15,'Listen und Kennwerte'!$B$4:$O$11,8,FALSE))</f>
        <v>12500</v>
      </c>
      <c r="T15" s="260">
        <f>IF(P15="","",VLOOKUP(P15,'Listen und Kennwerte'!$B$4:$O$11,9,FALSE))</f>
        <v>10400</v>
      </c>
      <c r="U15" s="260">
        <f>IF(P15="","",VLOOKUP(P15,'Listen und Kennwerte'!$B$4:$O$11,12,FALSE))</f>
        <v>540</v>
      </c>
      <c r="V15" s="255">
        <v>0.6</v>
      </c>
      <c r="W15" s="256">
        <v>1.3</v>
      </c>
      <c r="X15" s="230"/>
      <c r="Y15" s="264">
        <v>20.78</v>
      </c>
      <c r="Z15" s="263">
        <v>0.34</v>
      </c>
      <c r="AA15" s="263">
        <v>1</v>
      </c>
      <c r="AB15" s="263">
        <v>1</v>
      </c>
      <c r="AC15" s="265" t="s">
        <v>304</v>
      </c>
      <c r="AD15" s="265">
        <v>8208.4594224294069</v>
      </c>
      <c r="AE15" s="265">
        <v>2375</v>
      </c>
      <c r="AF15" s="265">
        <v>0</v>
      </c>
      <c r="AG15" s="208">
        <v>0.82</v>
      </c>
      <c r="AH15" s="239"/>
      <c r="AI15" s="262">
        <v>9</v>
      </c>
      <c r="AJ15" s="264">
        <v>112.09540852867127</v>
      </c>
      <c r="AK15" s="264">
        <v>9.3000000000000007</v>
      </c>
      <c r="AL15" s="264">
        <v>27.63</v>
      </c>
      <c r="AM15" s="264">
        <v>0</v>
      </c>
      <c r="AN15" s="264">
        <v>0</v>
      </c>
      <c r="AO15" s="264">
        <v>0</v>
      </c>
      <c r="AP15" s="264">
        <v>0</v>
      </c>
      <c r="AQ15" s="209">
        <v>0.653779</v>
      </c>
      <c r="AR15" s="417"/>
      <c r="AS15" s="349" t="s">
        <v>247</v>
      </c>
      <c r="AT15" s="350" t="s">
        <v>247</v>
      </c>
      <c r="AU15" s="350" t="s">
        <v>246</v>
      </c>
      <c r="AV15" s="350"/>
      <c r="AW15" s="351"/>
      <c r="AX15" s="350">
        <v>0.5</v>
      </c>
      <c r="AY15" s="350">
        <v>0.6</v>
      </c>
      <c r="AZ15" s="350">
        <v>0.6</v>
      </c>
      <c r="BA15" s="350"/>
      <c r="BB15" s="350"/>
      <c r="BC15" s="329">
        <v>1.0900000000000001</v>
      </c>
      <c r="BD15" s="330">
        <v>0.72</v>
      </c>
      <c r="BE15" s="330">
        <v>0.82</v>
      </c>
      <c r="BF15" s="330"/>
      <c r="BG15" s="330"/>
      <c r="BH15" s="418" t="s">
        <v>346</v>
      </c>
      <c r="BI15" s="422"/>
      <c r="BJ15" s="331" t="s">
        <v>36</v>
      </c>
      <c r="BK15" s="422"/>
      <c r="BL15" s="434">
        <f t="shared" si="0"/>
        <v>0.82</v>
      </c>
    </row>
    <row r="16" spans="1:114" s="344" customFormat="1" ht="20.05" customHeight="1" x14ac:dyDescent="0.6">
      <c r="B16" s="348"/>
      <c r="C16" s="298"/>
      <c r="D16" s="299"/>
      <c r="E16" s="341"/>
      <c r="F16" s="136"/>
      <c r="G16" s="267" t="s">
        <v>56</v>
      </c>
      <c r="H16" s="270" t="s">
        <v>113</v>
      </c>
      <c r="I16" s="270" t="s">
        <v>136</v>
      </c>
      <c r="J16" s="241">
        <v>3.5999999999999996</v>
      </c>
      <c r="K16" s="241">
        <v>0.6</v>
      </c>
      <c r="L16" s="241">
        <v>0.6</v>
      </c>
      <c r="M16" s="268">
        <v>2968.6139330291758</v>
      </c>
      <c r="N16" s="268">
        <v>85.5</v>
      </c>
      <c r="O16" s="268">
        <v>0</v>
      </c>
      <c r="P16" s="268" t="s">
        <v>246</v>
      </c>
      <c r="Q16" s="268">
        <f>IF(P16="","",VLOOKUP(P16,'Listen und Kennwerte'!$B$4:$O$11,2,FALSE))</f>
        <v>28</v>
      </c>
      <c r="R16" s="268">
        <f>IF(P16="","",VLOOKUP(P16,'Listen und Kennwerte'!$B$4:$O$11,2,FALSE))</f>
        <v>28</v>
      </c>
      <c r="S16" s="271">
        <f>IF(P16="","",VLOOKUP(P16,'Listen und Kennwerte'!$B$4:$O$11,8,FALSE))</f>
        <v>12500</v>
      </c>
      <c r="T16" s="271">
        <f>IF(P16="","",VLOOKUP(P16,'Listen und Kennwerte'!$B$4:$O$11,9,FALSE))</f>
        <v>10400</v>
      </c>
      <c r="U16" s="271">
        <f>IF(P16="","",VLOOKUP(P16,'Listen und Kennwerte'!$B$4:$O$11,12,FALSE))</f>
        <v>540</v>
      </c>
      <c r="V16" s="241">
        <v>0.6</v>
      </c>
      <c r="W16" s="242">
        <v>1.3</v>
      </c>
      <c r="X16" s="230"/>
      <c r="Y16" s="275">
        <v>20.78</v>
      </c>
      <c r="Z16" s="274">
        <v>0.34</v>
      </c>
      <c r="AA16" s="274">
        <v>1</v>
      </c>
      <c r="AB16" s="274">
        <v>1</v>
      </c>
      <c r="AC16" s="276" t="s">
        <v>304</v>
      </c>
      <c r="AD16" s="276">
        <v>8246.1498139699324</v>
      </c>
      <c r="AE16" s="276">
        <v>2375</v>
      </c>
      <c r="AF16" s="276">
        <v>0</v>
      </c>
      <c r="AG16" s="213">
        <v>0.82</v>
      </c>
      <c r="AH16" s="239"/>
      <c r="AI16" s="273">
        <v>9</v>
      </c>
      <c r="AJ16" s="275">
        <v>112.21752539726258</v>
      </c>
      <c r="AK16" s="275">
        <v>9.3000000000000007</v>
      </c>
      <c r="AL16" s="275">
        <v>27.76</v>
      </c>
      <c r="AM16" s="275">
        <v>0</v>
      </c>
      <c r="AN16" s="275">
        <v>0</v>
      </c>
      <c r="AO16" s="275">
        <v>0</v>
      </c>
      <c r="AP16" s="275">
        <v>0</v>
      </c>
      <c r="AQ16" s="214">
        <v>0.65779399999999999</v>
      </c>
      <c r="AR16" s="417"/>
      <c r="AS16" s="352" t="s">
        <v>247</v>
      </c>
      <c r="AT16" s="353" t="s">
        <v>247</v>
      </c>
      <c r="AU16" s="353" t="s">
        <v>246</v>
      </c>
      <c r="AV16" s="353"/>
      <c r="AW16" s="354"/>
      <c r="AX16" s="353">
        <v>0.5</v>
      </c>
      <c r="AY16" s="353">
        <v>0.6</v>
      </c>
      <c r="AZ16" s="353">
        <v>0.6</v>
      </c>
      <c r="BA16" s="353"/>
      <c r="BB16" s="353"/>
      <c r="BC16" s="332">
        <v>1.1000000000000001</v>
      </c>
      <c r="BD16" s="333">
        <v>0.72</v>
      </c>
      <c r="BE16" s="333">
        <v>0.82</v>
      </c>
      <c r="BF16" s="333"/>
      <c r="BG16" s="333"/>
      <c r="BH16" s="423" t="s">
        <v>346</v>
      </c>
      <c r="BI16" s="422"/>
      <c r="BJ16" s="334" t="s">
        <v>36</v>
      </c>
      <c r="BK16" s="422"/>
      <c r="BL16" s="434">
        <f t="shared" si="0"/>
        <v>0.82</v>
      </c>
    </row>
    <row r="17" spans="2:64" s="344" customFormat="1" ht="20.05" customHeight="1" x14ac:dyDescent="0.6">
      <c r="B17" s="348" t="s">
        <v>280</v>
      </c>
      <c r="C17" s="298"/>
      <c r="D17" s="299"/>
      <c r="E17" s="341"/>
      <c r="F17" s="136"/>
      <c r="G17" s="254" t="s">
        <v>57</v>
      </c>
      <c r="H17" s="259" t="s">
        <v>113</v>
      </c>
      <c r="I17" s="259" t="s">
        <v>136</v>
      </c>
      <c r="J17" s="255">
        <v>3.5999999999999996</v>
      </c>
      <c r="K17" s="255">
        <v>0.6</v>
      </c>
      <c r="L17" s="255">
        <v>0.6</v>
      </c>
      <c r="M17" s="257">
        <v>3169.3314152526882</v>
      </c>
      <c r="N17" s="257">
        <v>112.5</v>
      </c>
      <c r="O17" s="257">
        <v>0</v>
      </c>
      <c r="P17" s="257" t="s">
        <v>247</v>
      </c>
      <c r="Q17" s="257">
        <f>IF(P17="","",VLOOKUP(P17,'Listen und Kennwerte'!$B$4:$O$11,2,FALSE))</f>
        <v>32</v>
      </c>
      <c r="R17" s="257">
        <f>IF(P17="","",VLOOKUP(P17,'Listen und Kennwerte'!$B$4:$O$11,2,FALSE))</f>
        <v>32</v>
      </c>
      <c r="S17" s="260">
        <f>IF(P17="","",VLOOKUP(P17,'Listen und Kennwerte'!$B$4:$O$11,8,FALSE))</f>
        <v>13700</v>
      </c>
      <c r="T17" s="260">
        <f>IF(P17="","",VLOOKUP(P17,'Listen und Kennwerte'!$B$4:$O$11,9,FALSE))</f>
        <v>11100</v>
      </c>
      <c r="U17" s="260">
        <f>IF(P17="","",VLOOKUP(P17,'Listen und Kennwerte'!$B$4:$O$11,12,FALSE))</f>
        <v>566.66666666666663</v>
      </c>
      <c r="V17" s="255">
        <v>0.6</v>
      </c>
      <c r="W17" s="256">
        <v>1.3</v>
      </c>
      <c r="X17" s="230"/>
      <c r="Y17" s="264">
        <v>20.78</v>
      </c>
      <c r="Z17" s="263">
        <v>0.36</v>
      </c>
      <c r="AA17" s="263">
        <v>0.99</v>
      </c>
      <c r="AB17" s="263">
        <v>1</v>
      </c>
      <c r="AC17" s="265" t="s">
        <v>304</v>
      </c>
      <c r="AD17" s="265">
        <v>8803.6983757019116</v>
      </c>
      <c r="AE17" s="265">
        <v>3125</v>
      </c>
      <c r="AF17" s="265">
        <v>0</v>
      </c>
      <c r="AG17" s="208">
        <v>0.81</v>
      </c>
      <c r="AH17" s="239"/>
      <c r="AI17" s="262">
        <v>9</v>
      </c>
      <c r="AJ17" s="264">
        <v>141.0239827372742</v>
      </c>
      <c r="AK17" s="264">
        <v>9.3000000000000007</v>
      </c>
      <c r="AL17" s="264">
        <v>29.6</v>
      </c>
      <c r="AM17" s="264">
        <v>0</v>
      </c>
      <c r="AN17" s="264">
        <v>0</v>
      </c>
      <c r="AO17" s="264">
        <v>0</v>
      </c>
      <c r="AP17" s="264">
        <v>0</v>
      </c>
      <c r="AQ17" s="209">
        <v>0.63062499999999999</v>
      </c>
      <c r="AR17" s="417"/>
      <c r="AS17" s="349" t="s">
        <v>247</v>
      </c>
      <c r="AT17" s="350" t="s">
        <v>247</v>
      </c>
      <c r="AU17" s="350"/>
      <c r="AV17" s="350"/>
      <c r="AW17" s="351"/>
      <c r="AX17" s="350">
        <v>0.5</v>
      </c>
      <c r="AY17" s="350">
        <v>0.6</v>
      </c>
      <c r="AZ17" s="350"/>
      <c r="BA17" s="350"/>
      <c r="BB17" s="350"/>
      <c r="BC17" s="329">
        <v>1.24</v>
      </c>
      <c r="BD17" s="330">
        <v>0.81</v>
      </c>
      <c r="BE17" s="330"/>
      <c r="BF17" s="330"/>
      <c r="BG17" s="330"/>
      <c r="BH17" s="418" t="s">
        <v>346</v>
      </c>
      <c r="BI17" s="422"/>
      <c r="BJ17" s="331"/>
      <c r="BK17" s="422"/>
      <c r="BL17" s="434">
        <f t="shared" si="0"/>
        <v>0.81</v>
      </c>
    </row>
    <row r="18" spans="2:64" s="344" customFormat="1" ht="20.05" customHeight="1" x14ac:dyDescent="0.6">
      <c r="B18" s="342" t="s">
        <v>308</v>
      </c>
      <c r="C18" s="298"/>
      <c r="D18" s="302">
        <v>200</v>
      </c>
      <c r="E18" s="341" t="s">
        <v>41</v>
      </c>
      <c r="F18" s="136"/>
      <c r="G18" s="267" t="s">
        <v>58</v>
      </c>
      <c r="H18" s="270" t="s">
        <v>113</v>
      </c>
      <c r="I18" s="270" t="s">
        <v>136</v>
      </c>
      <c r="J18" s="241">
        <v>3.5999999999999996</v>
      </c>
      <c r="K18" s="241">
        <v>0.6</v>
      </c>
      <c r="L18" s="241">
        <v>0.6</v>
      </c>
      <c r="M18" s="268">
        <v>3342.5035503387467</v>
      </c>
      <c r="N18" s="268">
        <v>112.5</v>
      </c>
      <c r="O18" s="268">
        <v>0</v>
      </c>
      <c r="P18" s="268" t="s">
        <v>247</v>
      </c>
      <c r="Q18" s="268">
        <f>IF(P18="","",VLOOKUP(P18,'Listen und Kennwerte'!$B$4:$O$11,2,FALSE))</f>
        <v>32</v>
      </c>
      <c r="R18" s="268">
        <f>IF(P18="","",VLOOKUP(P18,'Listen und Kennwerte'!$B$4:$O$11,2,FALSE))</f>
        <v>32</v>
      </c>
      <c r="S18" s="271">
        <f>IF(P18="","",VLOOKUP(P18,'Listen und Kennwerte'!$B$4:$O$11,8,FALSE))</f>
        <v>13700</v>
      </c>
      <c r="T18" s="271">
        <f>IF(P18="","",VLOOKUP(P18,'Listen und Kennwerte'!$B$4:$O$11,9,FALSE))</f>
        <v>11100</v>
      </c>
      <c r="U18" s="271">
        <f>IF(P18="","",VLOOKUP(P18,'Listen und Kennwerte'!$B$4:$O$11,12,FALSE))</f>
        <v>566.66666666666663</v>
      </c>
      <c r="V18" s="241">
        <v>0.6</v>
      </c>
      <c r="W18" s="242">
        <v>1.3</v>
      </c>
      <c r="X18" s="230"/>
      <c r="Y18" s="275">
        <v>20.78</v>
      </c>
      <c r="Z18" s="274">
        <v>0.36</v>
      </c>
      <c r="AA18" s="274">
        <v>0.99</v>
      </c>
      <c r="AB18" s="274">
        <v>1</v>
      </c>
      <c r="AC18" s="276" t="s">
        <v>304</v>
      </c>
      <c r="AD18" s="276">
        <v>9284.7320842742974</v>
      </c>
      <c r="AE18" s="276">
        <v>3125</v>
      </c>
      <c r="AF18" s="276">
        <v>0</v>
      </c>
      <c r="AG18" s="213">
        <v>0.85</v>
      </c>
      <c r="AH18" s="239"/>
      <c r="AI18" s="273">
        <v>0</v>
      </c>
      <c r="AJ18" s="275">
        <v>112.5</v>
      </c>
      <c r="AK18" s="275">
        <v>1.4</v>
      </c>
      <c r="AL18" s="275">
        <v>117.02</v>
      </c>
      <c r="AM18" s="275">
        <v>9</v>
      </c>
      <c r="AN18" s="275">
        <v>30.082531953048719</v>
      </c>
      <c r="AO18" s="275">
        <v>9.3000000000000007</v>
      </c>
      <c r="AP18" s="275">
        <v>31.28</v>
      </c>
      <c r="AQ18" s="214">
        <v>0.67412700000000003</v>
      </c>
      <c r="AR18" s="417"/>
      <c r="AS18" s="352" t="s">
        <v>247</v>
      </c>
      <c r="AT18" s="353" t="s">
        <v>247</v>
      </c>
      <c r="AU18" s="353"/>
      <c r="AV18" s="353"/>
      <c r="AW18" s="354"/>
      <c r="AX18" s="353">
        <v>0.5</v>
      </c>
      <c r="AY18" s="353">
        <v>0.6</v>
      </c>
      <c r="AZ18" s="353"/>
      <c r="BA18" s="353"/>
      <c r="BB18" s="353"/>
      <c r="BC18" s="332">
        <v>1.33</v>
      </c>
      <c r="BD18" s="333">
        <v>0.85</v>
      </c>
      <c r="BE18" s="333"/>
      <c r="BF18" s="333"/>
      <c r="BG18" s="333"/>
      <c r="BH18" s="423" t="s">
        <v>346</v>
      </c>
      <c r="BI18" s="422"/>
      <c r="BJ18" s="334"/>
      <c r="BK18" s="422"/>
      <c r="BL18" s="434">
        <f t="shared" si="0"/>
        <v>0.85</v>
      </c>
    </row>
    <row r="19" spans="2:64" s="344" customFormat="1" ht="20.05" customHeight="1" x14ac:dyDescent="0.6">
      <c r="B19" s="342" t="s">
        <v>333</v>
      </c>
      <c r="C19" s="298"/>
      <c r="D19" s="302">
        <v>50</v>
      </c>
      <c r="E19" s="341" t="s">
        <v>43</v>
      </c>
      <c r="G19" s="254" t="s">
        <v>59</v>
      </c>
      <c r="H19" s="259" t="s">
        <v>113</v>
      </c>
      <c r="I19" s="259" t="s">
        <v>136</v>
      </c>
      <c r="J19" s="255">
        <v>3.5999999999999996</v>
      </c>
      <c r="K19" s="255">
        <v>0.6</v>
      </c>
      <c r="L19" s="255">
        <v>0.6</v>
      </c>
      <c r="M19" s="257">
        <v>3250.0222840118422</v>
      </c>
      <c r="N19" s="257">
        <v>112.5</v>
      </c>
      <c r="O19" s="257">
        <v>0</v>
      </c>
      <c r="P19" s="257" t="s">
        <v>247</v>
      </c>
      <c r="Q19" s="257">
        <f>IF(P19="","",VLOOKUP(P19,'Listen und Kennwerte'!$B$4:$O$11,2,FALSE))</f>
        <v>32</v>
      </c>
      <c r="R19" s="257">
        <f>IF(P19="","",VLOOKUP(P19,'Listen und Kennwerte'!$B$4:$O$11,2,FALSE))</f>
        <v>32</v>
      </c>
      <c r="S19" s="260">
        <f>IF(P19="","",VLOOKUP(P19,'Listen und Kennwerte'!$B$4:$O$11,8,FALSE))</f>
        <v>13700</v>
      </c>
      <c r="T19" s="260">
        <f>IF(P19="","",VLOOKUP(P19,'Listen und Kennwerte'!$B$4:$O$11,9,FALSE))</f>
        <v>11100</v>
      </c>
      <c r="U19" s="260">
        <f>IF(P19="","",VLOOKUP(P19,'Listen und Kennwerte'!$B$4:$O$11,12,FALSE))</f>
        <v>566.66666666666663</v>
      </c>
      <c r="V19" s="255">
        <v>0.6</v>
      </c>
      <c r="W19" s="256">
        <v>1.3</v>
      </c>
      <c r="X19" s="230"/>
      <c r="Y19" s="264">
        <v>20.78</v>
      </c>
      <c r="Z19" s="263">
        <v>0.36</v>
      </c>
      <c r="AA19" s="263">
        <v>0.99</v>
      </c>
      <c r="AB19" s="263">
        <v>1</v>
      </c>
      <c r="AC19" s="265" t="s">
        <v>304</v>
      </c>
      <c r="AD19" s="265">
        <v>9027.8396778106726</v>
      </c>
      <c r="AE19" s="265">
        <v>3125</v>
      </c>
      <c r="AF19" s="265">
        <v>0</v>
      </c>
      <c r="AG19" s="208">
        <v>0.83</v>
      </c>
      <c r="AH19" s="239"/>
      <c r="AI19" s="262">
        <v>9</v>
      </c>
      <c r="AJ19" s="264">
        <v>141.75020055610656</v>
      </c>
      <c r="AK19" s="264">
        <v>9.3000000000000007</v>
      </c>
      <c r="AL19" s="264">
        <v>30.39</v>
      </c>
      <c r="AM19" s="264">
        <v>0</v>
      </c>
      <c r="AN19" s="264">
        <v>0</v>
      </c>
      <c r="AO19" s="264">
        <v>0</v>
      </c>
      <c r="AP19" s="264">
        <v>0</v>
      </c>
      <c r="AQ19" s="209">
        <v>0.65064100000000002</v>
      </c>
      <c r="AR19" s="417"/>
      <c r="AS19" s="349" t="s">
        <v>247</v>
      </c>
      <c r="AT19" s="350" t="s">
        <v>247</v>
      </c>
      <c r="AU19" s="350"/>
      <c r="AV19" s="350"/>
      <c r="AW19" s="351"/>
      <c r="AX19" s="350">
        <v>0.5</v>
      </c>
      <c r="AY19" s="350">
        <v>0.6</v>
      </c>
      <c r="AZ19" s="350"/>
      <c r="BA19" s="350"/>
      <c r="BB19" s="350"/>
      <c r="BC19" s="329">
        <v>1.29</v>
      </c>
      <c r="BD19" s="330">
        <v>0.83</v>
      </c>
      <c r="BE19" s="330"/>
      <c r="BF19" s="330"/>
      <c r="BG19" s="330"/>
      <c r="BH19" s="418" t="s">
        <v>346</v>
      </c>
      <c r="BI19" s="422"/>
      <c r="BJ19" s="331"/>
      <c r="BK19" s="422"/>
      <c r="BL19" s="434">
        <f t="shared" si="0"/>
        <v>0.83</v>
      </c>
    </row>
    <row r="20" spans="2:64" s="344" customFormat="1" ht="20.05" customHeight="1" x14ac:dyDescent="0.6">
      <c r="B20" s="348"/>
      <c r="C20" s="298"/>
      <c r="D20" s="299"/>
      <c r="E20" s="341"/>
      <c r="G20" s="267" t="s">
        <v>60</v>
      </c>
      <c r="H20" s="270" t="s">
        <v>113</v>
      </c>
      <c r="I20" s="270" t="s">
        <v>136</v>
      </c>
      <c r="J20" s="241">
        <v>3.5999999999999996</v>
      </c>
      <c r="K20" s="241">
        <v>0.6</v>
      </c>
      <c r="L20" s="241">
        <v>0.6</v>
      </c>
      <c r="M20" s="268">
        <v>3440.8982096099844</v>
      </c>
      <c r="N20" s="268">
        <v>85.5</v>
      </c>
      <c r="O20" s="268">
        <v>0</v>
      </c>
      <c r="P20" s="268" t="s">
        <v>247</v>
      </c>
      <c r="Q20" s="268">
        <f>IF(P20="","",VLOOKUP(P20,'Listen und Kennwerte'!$B$4:$O$11,2,FALSE))</f>
        <v>32</v>
      </c>
      <c r="R20" s="268">
        <f>IF(P20="","",VLOOKUP(P20,'Listen und Kennwerte'!$B$4:$O$11,2,FALSE))</f>
        <v>32</v>
      </c>
      <c r="S20" s="271">
        <f>IF(P20="","",VLOOKUP(P20,'Listen und Kennwerte'!$B$4:$O$11,8,FALSE))</f>
        <v>13700</v>
      </c>
      <c r="T20" s="271">
        <f>IF(P20="","",VLOOKUP(P20,'Listen und Kennwerte'!$B$4:$O$11,9,FALSE))</f>
        <v>11100</v>
      </c>
      <c r="U20" s="271">
        <f>IF(P20="","",VLOOKUP(P20,'Listen und Kennwerte'!$B$4:$O$11,12,FALSE))</f>
        <v>566.66666666666663</v>
      </c>
      <c r="V20" s="241">
        <v>0.6</v>
      </c>
      <c r="W20" s="242">
        <v>1.3</v>
      </c>
      <c r="X20" s="230"/>
      <c r="Y20" s="275">
        <v>20.78</v>
      </c>
      <c r="Z20" s="274">
        <v>0.36</v>
      </c>
      <c r="AA20" s="274">
        <v>0.99</v>
      </c>
      <c r="AB20" s="274">
        <v>1</v>
      </c>
      <c r="AC20" s="276" t="s">
        <v>304</v>
      </c>
      <c r="AD20" s="276">
        <v>9558.0505822499563</v>
      </c>
      <c r="AE20" s="276">
        <v>2375</v>
      </c>
      <c r="AF20" s="276">
        <v>0</v>
      </c>
      <c r="AG20" s="213">
        <v>0.81</v>
      </c>
      <c r="AH20" s="239"/>
      <c r="AI20" s="273">
        <v>9</v>
      </c>
      <c r="AJ20" s="275">
        <v>116.46808388648986</v>
      </c>
      <c r="AK20" s="275">
        <v>9.4</v>
      </c>
      <c r="AL20" s="275">
        <v>32.25</v>
      </c>
      <c r="AM20" s="275">
        <v>0</v>
      </c>
      <c r="AN20" s="275">
        <v>0</v>
      </c>
      <c r="AO20" s="275">
        <v>0</v>
      </c>
      <c r="AP20" s="275">
        <v>0</v>
      </c>
      <c r="AQ20" s="214">
        <v>0.64691799999999999</v>
      </c>
      <c r="AR20" s="417"/>
      <c r="AS20" s="352" t="s">
        <v>247</v>
      </c>
      <c r="AT20" s="353" t="s">
        <v>247</v>
      </c>
      <c r="AU20" s="353"/>
      <c r="AV20" s="353"/>
      <c r="AW20" s="354"/>
      <c r="AX20" s="353">
        <v>0.5</v>
      </c>
      <c r="AY20" s="353">
        <v>0.6</v>
      </c>
      <c r="AZ20" s="353"/>
      <c r="BA20" s="353"/>
      <c r="BB20" s="353"/>
      <c r="BC20" s="332">
        <v>1.29</v>
      </c>
      <c r="BD20" s="333">
        <v>0.81</v>
      </c>
      <c r="BE20" s="333"/>
      <c r="BF20" s="333"/>
      <c r="BG20" s="333"/>
      <c r="BH20" s="423" t="s">
        <v>346</v>
      </c>
      <c r="BI20" s="422"/>
      <c r="BJ20" s="334"/>
      <c r="BK20" s="422"/>
      <c r="BL20" s="434">
        <f t="shared" si="0"/>
        <v>0.81</v>
      </c>
    </row>
    <row r="21" spans="2:64" s="344" customFormat="1" ht="20.05" customHeight="1" x14ac:dyDescent="0.6">
      <c r="B21" s="342" t="s">
        <v>298</v>
      </c>
      <c r="C21" s="298"/>
      <c r="D21" s="299"/>
      <c r="E21" s="341"/>
      <c r="G21" s="254" t="s">
        <v>61</v>
      </c>
      <c r="H21" s="259" t="s">
        <v>113</v>
      </c>
      <c r="I21" s="259" t="s">
        <v>136</v>
      </c>
      <c r="J21" s="255">
        <v>3.5999999999999996</v>
      </c>
      <c r="K21" s="255">
        <v>0.6</v>
      </c>
      <c r="L21" s="255">
        <v>0.6</v>
      </c>
      <c r="M21" s="257">
        <v>2310.6572852897648</v>
      </c>
      <c r="N21" s="257">
        <v>85.5</v>
      </c>
      <c r="O21" s="257">
        <v>85.5</v>
      </c>
      <c r="P21" s="257" t="s">
        <v>246</v>
      </c>
      <c r="Q21" s="257">
        <f>IF(P21="","",VLOOKUP(P21,'Listen und Kennwerte'!$B$4:$O$11,2,FALSE))</f>
        <v>28</v>
      </c>
      <c r="R21" s="257">
        <f>IF(P21="","",VLOOKUP(P21,'Listen und Kennwerte'!$B$4:$O$11,2,FALSE))</f>
        <v>28</v>
      </c>
      <c r="S21" s="260">
        <f>IF(P21="","",VLOOKUP(P21,'Listen und Kennwerte'!$B$4:$O$11,8,FALSE))</f>
        <v>12500</v>
      </c>
      <c r="T21" s="260">
        <f>IF(P21="","",VLOOKUP(P21,'Listen und Kennwerte'!$B$4:$O$11,9,FALSE))</f>
        <v>10400</v>
      </c>
      <c r="U21" s="260">
        <f>IF(P21="","",VLOOKUP(P21,'Listen und Kennwerte'!$B$4:$O$11,12,FALSE))</f>
        <v>540</v>
      </c>
      <c r="V21" s="255">
        <v>0.6</v>
      </c>
      <c r="W21" s="256">
        <v>1.3</v>
      </c>
      <c r="X21" s="230"/>
      <c r="Y21" s="264">
        <v>20.78</v>
      </c>
      <c r="Z21" s="263">
        <v>0.34</v>
      </c>
      <c r="AA21" s="263">
        <v>1</v>
      </c>
      <c r="AB21" s="263">
        <v>1</v>
      </c>
      <c r="AC21" s="265" t="s">
        <v>304</v>
      </c>
      <c r="AD21" s="265">
        <v>6418.492459138236</v>
      </c>
      <c r="AE21" s="265">
        <v>2375</v>
      </c>
      <c r="AF21" s="265">
        <v>2375</v>
      </c>
      <c r="AG21" s="208">
        <v>0.81</v>
      </c>
      <c r="AH21" s="239"/>
      <c r="AI21" s="262">
        <v>9</v>
      </c>
      <c r="AJ21" s="264">
        <v>106.29591556760788</v>
      </c>
      <c r="AK21" s="264">
        <v>10.3</v>
      </c>
      <c r="AL21" s="264">
        <v>109.5</v>
      </c>
      <c r="AM21" s="264">
        <v>0</v>
      </c>
      <c r="AN21" s="264">
        <v>85.5</v>
      </c>
      <c r="AO21" s="264">
        <v>1.1000000000000001</v>
      </c>
      <c r="AP21" s="264">
        <v>88.07</v>
      </c>
      <c r="AQ21" s="209">
        <v>0.61456</v>
      </c>
      <c r="AR21" s="417"/>
      <c r="AS21" s="349" t="s">
        <v>247</v>
      </c>
      <c r="AT21" s="350" t="s">
        <v>247</v>
      </c>
      <c r="AU21" s="350" t="s">
        <v>246</v>
      </c>
      <c r="AV21" s="350"/>
      <c r="AW21" s="351"/>
      <c r="AX21" s="350">
        <v>0.5</v>
      </c>
      <c r="AY21" s="350">
        <v>0.6</v>
      </c>
      <c r="AZ21" s="350">
        <v>0.6</v>
      </c>
      <c r="BA21" s="350"/>
      <c r="BB21" s="350"/>
      <c r="BC21" s="329">
        <v>1.1100000000000001</v>
      </c>
      <c r="BD21" s="330">
        <v>0.71</v>
      </c>
      <c r="BE21" s="330">
        <v>0.81</v>
      </c>
      <c r="BF21" s="330"/>
      <c r="BG21" s="330"/>
      <c r="BH21" s="418" t="s">
        <v>346</v>
      </c>
      <c r="BI21" s="422"/>
      <c r="BJ21" s="331"/>
      <c r="BK21" s="422"/>
      <c r="BL21" s="434">
        <f t="shared" si="0"/>
        <v>0.81</v>
      </c>
    </row>
    <row r="22" spans="2:64" s="344" customFormat="1" ht="20.05" customHeight="1" x14ac:dyDescent="0.6">
      <c r="B22" s="348"/>
      <c r="C22" s="298"/>
      <c r="D22" s="299"/>
      <c r="E22" s="341"/>
      <c r="G22" s="267" t="s">
        <v>62</v>
      </c>
      <c r="H22" s="270" t="s">
        <v>113</v>
      </c>
      <c r="I22" s="270" t="s">
        <v>136</v>
      </c>
      <c r="J22" s="241">
        <v>7.8</v>
      </c>
      <c r="K22" s="241">
        <v>0.6</v>
      </c>
      <c r="L22" s="241">
        <v>0.6</v>
      </c>
      <c r="M22" s="268">
        <v>3801.0948917786886</v>
      </c>
      <c r="N22" s="268">
        <v>0</v>
      </c>
      <c r="O22" s="268">
        <v>0</v>
      </c>
      <c r="P22" s="268" t="s">
        <v>246</v>
      </c>
      <c r="Q22" s="268">
        <f>IF(P22="","",VLOOKUP(P22,'Listen und Kennwerte'!$B$4:$O$11,2,FALSE))</f>
        <v>28</v>
      </c>
      <c r="R22" s="268">
        <f>IF(P22="","",VLOOKUP(P22,'Listen und Kennwerte'!$B$4:$O$11,2,FALSE))</f>
        <v>28</v>
      </c>
      <c r="S22" s="271">
        <f>IF(P22="","",VLOOKUP(P22,'Listen und Kennwerte'!$B$4:$O$11,8,FALSE))</f>
        <v>12500</v>
      </c>
      <c r="T22" s="271">
        <f>IF(P22="","",VLOOKUP(P22,'Listen und Kennwerte'!$B$4:$O$11,9,FALSE))</f>
        <v>10400</v>
      </c>
      <c r="U22" s="271">
        <f>IF(P22="","",VLOOKUP(P22,'Listen und Kennwerte'!$B$4:$O$11,12,FALSE))</f>
        <v>540</v>
      </c>
      <c r="V22" s="241">
        <v>0.6</v>
      </c>
      <c r="W22" s="242">
        <v>1.3</v>
      </c>
      <c r="X22" s="230"/>
      <c r="Y22" s="275">
        <v>45.03</v>
      </c>
      <c r="Z22" s="274">
        <v>0.74</v>
      </c>
      <c r="AA22" s="274">
        <v>0.92</v>
      </c>
      <c r="AB22" s="274">
        <v>1</v>
      </c>
      <c r="AC22" s="276" t="s">
        <v>304</v>
      </c>
      <c r="AD22" s="276">
        <v>10558.596921607468</v>
      </c>
      <c r="AE22" s="276">
        <v>0</v>
      </c>
      <c r="AF22" s="276">
        <v>0</v>
      </c>
      <c r="AG22" s="213">
        <v>0.89</v>
      </c>
      <c r="AH22" s="239"/>
      <c r="AI22" s="273">
        <v>19.5</v>
      </c>
      <c r="AJ22" s="275">
        <v>74.121350389684423</v>
      </c>
      <c r="AK22" s="275">
        <v>25.2</v>
      </c>
      <c r="AL22" s="275">
        <v>95.69</v>
      </c>
      <c r="AM22" s="275">
        <v>0</v>
      </c>
      <c r="AN22" s="275">
        <v>0</v>
      </c>
      <c r="AO22" s="275">
        <v>0</v>
      </c>
      <c r="AP22" s="275">
        <v>0</v>
      </c>
      <c r="AQ22" s="214">
        <v>0.873228</v>
      </c>
      <c r="AR22" s="417"/>
      <c r="AS22" s="352" t="s">
        <v>247</v>
      </c>
      <c r="AT22" s="353" t="s">
        <v>247</v>
      </c>
      <c r="AU22" s="353" t="s">
        <v>246</v>
      </c>
      <c r="AV22" s="353"/>
      <c r="AW22" s="354"/>
      <c r="AX22" s="353">
        <v>0.5</v>
      </c>
      <c r="AY22" s="353">
        <v>0.6</v>
      </c>
      <c r="AZ22" s="353">
        <v>0.6</v>
      </c>
      <c r="BA22" s="353"/>
      <c r="BB22" s="353"/>
      <c r="BC22" s="332">
        <v>1.49</v>
      </c>
      <c r="BD22" s="333">
        <v>0.79</v>
      </c>
      <c r="BE22" s="333">
        <v>0.89</v>
      </c>
      <c r="BF22" s="333"/>
      <c r="BG22" s="333"/>
      <c r="BH22" s="423" t="s">
        <v>346</v>
      </c>
      <c r="BI22" s="422"/>
      <c r="BJ22" s="334"/>
      <c r="BK22" s="422"/>
      <c r="BL22" s="434">
        <f t="shared" si="0"/>
        <v>0.89</v>
      </c>
    </row>
    <row r="23" spans="2:64" s="344" customFormat="1" ht="20.05" customHeight="1" x14ac:dyDescent="0.6">
      <c r="B23" s="348" t="s">
        <v>291</v>
      </c>
      <c r="C23" s="298"/>
      <c r="D23" s="299"/>
      <c r="E23" s="341"/>
      <c r="G23" s="254" t="s">
        <v>63</v>
      </c>
      <c r="H23" s="259" t="s">
        <v>113</v>
      </c>
      <c r="I23" s="259" t="s">
        <v>136</v>
      </c>
      <c r="J23" s="255">
        <v>7.8</v>
      </c>
      <c r="K23" s="255">
        <v>0.55000000000000004</v>
      </c>
      <c r="L23" s="255">
        <v>0.55000000000000004</v>
      </c>
      <c r="M23" s="257">
        <v>2838.9119428269673</v>
      </c>
      <c r="N23" s="257">
        <v>0</v>
      </c>
      <c r="O23" s="257">
        <v>0</v>
      </c>
      <c r="P23" s="257" t="s">
        <v>246</v>
      </c>
      <c r="Q23" s="257">
        <f>IF(P23="","",VLOOKUP(P23,'Listen und Kennwerte'!$B$4:$O$11,2,FALSE))</f>
        <v>28</v>
      </c>
      <c r="R23" s="257">
        <f>IF(P23="","",VLOOKUP(P23,'Listen und Kennwerte'!$B$4:$O$11,2,FALSE))</f>
        <v>28</v>
      </c>
      <c r="S23" s="260">
        <f>IF(P23="","",VLOOKUP(P23,'Listen und Kennwerte'!$B$4:$O$11,8,FALSE))</f>
        <v>12500</v>
      </c>
      <c r="T23" s="260">
        <f>IF(P23="","",VLOOKUP(P23,'Listen und Kennwerte'!$B$4:$O$11,9,FALSE))</f>
        <v>10400</v>
      </c>
      <c r="U23" s="260">
        <f>IF(P23="","",VLOOKUP(P23,'Listen und Kennwerte'!$B$4:$O$11,12,FALSE))</f>
        <v>540</v>
      </c>
      <c r="V23" s="255">
        <v>0.6</v>
      </c>
      <c r="W23" s="256">
        <v>1.3</v>
      </c>
      <c r="X23" s="230"/>
      <c r="Y23" s="264">
        <v>49.13</v>
      </c>
      <c r="Z23" s="263">
        <v>0.81</v>
      </c>
      <c r="AA23" s="263">
        <v>0.89</v>
      </c>
      <c r="AB23" s="263">
        <v>1</v>
      </c>
      <c r="AC23" s="265" t="s">
        <v>304</v>
      </c>
      <c r="AD23" s="265">
        <v>9384.8328688494767</v>
      </c>
      <c r="AE23" s="265">
        <v>0</v>
      </c>
      <c r="AF23" s="265">
        <v>0</v>
      </c>
      <c r="AG23" s="208">
        <v>0.82</v>
      </c>
      <c r="AH23" s="239"/>
      <c r="AI23" s="262">
        <v>19.5</v>
      </c>
      <c r="AJ23" s="264">
        <v>55.358782885125862</v>
      </c>
      <c r="AK23" s="264">
        <v>25.7</v>
      </c>
      <c r="AL23" s="264">
        <v>72.69</v>
      </c>
      <c r="AM23" s="264">
        <v>0</v>
      </c>
      <c r="AN23" s="264">
        <v>0</v>
      </c>
      <c r="AO23" s="264">
        <v>0</v>
      </c>
      <c r="AP23" s="264">
        <v>0</v>
      </c>
      <c r="AQ23" s="209">
        <v>0.73022600000000004</v>
      </c>
      <c r="AR23" s="417"/>
      <c r="AS23" s="349" t="s">
        <v>247</v>
      </c>
      <c r="AT23" s="350" t="s">
        <v>247</v>
      </c>
      <c r="AU23" s="350" t="s">
        <v>246</v>
      </c>
      <c r="AV23" s="350"/>
      <c r="AW23" s="351"/>
      <c r="AX23" s="350">
        <v>0.5</v>
      </c>
      <c r="AY23" s="350">
        <v>0.55000000000000004</v>
      </c>
      <c r="AZ23" s="350">
        <v>0.55000000000000004</v>
      </c>
      <c r="BA23" s="350"/>
      <c r="BB23" s="350"/>
      <c r="BC23" s="329">
        <v>0.93</v>
      </c>
      <c r="BD23" s="330">
        <v>0.72</v>
      </c>
      <c r="BE23" s="330">
        <v>0.82</v>
      </c>
      <c r="BF23" s="330"/>
      <c r="BG23" s="330"/>
      <c r="BH23" s="418" t="s">
        <v>346</v>
      </c>
      <c r="BI23" s="422"/>
      <c r="BJ23" s="331"/>
      <c r="BK23" s="422"/>
      <c r="BL23" s="434">
        <f t="shared" si="0"/>
        <v>0.82</v>
      </c>
    </row>
    <row r="24" spans="2:64" s="344" customFormat="1" ht="20.05" customHeight="1" x14ac:dyDescent="0.6">
      <c r="B24" s="342" t="s">
        <v>269</v>
      </c>
      <c r="C24" s="298"/>
      <c r="D24" s="299"/>
      <c r="E24" s="341"/>
      <c r="G24" s="267" t="s">
        <v>64</v>
      </c>
      <c r="H24" s="270" t="s">
        <v>113</v>
      </c>
      <c r="I24" s="270" t="s">
        <v>136</v>
      </c>
      <c r="J24" s="241">
        <v>7.8</v>
      </c>
      <c r="K24" s="241">
        <v>0.55000000000000004</v>
      </c>
      <c r="L24" s="241">
        <v>0.55000000000000004</v>
      </c>
      <c r="M24" s="268">
        <v>3042.8483727280905</v>
      </c>
      <c r="N24" s="268">
        <v>0</v>
      </c>
      <c r="O24" s="268">
        <v>0</v>
      </c>
      <c r="P24" s="268" t="s">
        <v>246</v>
      </c>
      <c r="Q24" s="268">
        <f>IF(P24="","",VLOOKUP(P24,'Listen und Kennwerte'!$B$4:$O$11,2,FALSE))</f>
        <v>28</v>
      </c>
      <c r="R24" s="268">
        <f>IF(P24="","",VLOOKUP(P24,'Listen und Kennwerte'!$B$4:$O$11,2,FALSE))</f>
        <v>28</v>
      </c>
      <c r="S24" s="271">
        <f>IF(P24="","",VLOOKUP(P24,'Listen und Kennwerte'!$B$4:$O$11,8,FALSE))</f>
        <v>12500</v>
      </c>
      <c r="T24" s="271">
        <f>IF(P24="","",VLOOKUP(P24,'Listen und Kennwerte'!$B$4:$O$11,9,FALSE))</f>
        <v>10400</v>
      </c>
      <c r="U24" s="271">
        <f>IF(P24="","",VLOOKUP(P24,'Listen und Kennwerte'!$B$4:$O$11,12,FALSE))</f>
        <v>540</v>
      </c>
      <c r="V24" s="241">
        <v>0.6</v>
      </c>
      <c r="W24" s="242">
        <v>1.3</v>
      </c>
      <c r="X24" s="230"/>
      <c r="Y24" s="275">
        <v>49.13</v>
      </c>
      <c r="Z24" s="274">
        <v>0.81</v>
      </c>
      <c r="AA24" s="274">
        <v>0.89</v>
      </c>
      <c r="AB24" s="274">
        <v>1</v>
      </c>
      <c r="AC24" s="276" t="s">
        <v>304</v>
      </c>
      <c r="AD24" s="276">
        <v>10059.002885051537</v>
      </c>
      <c r="AE24" s="276">
        <v>0</v>
      </c>
      <c r="AF24" s="276">
        <v>0</v>
      </c>
      <c r="AG24" s="213">
        <v>0.87</v>
      </c>
      <c r="AH24" s="239"/>
      <c r="AI24" s="273">
        <v>19.5</v>
      </c>
      <c r="AJ24" s="275">
        <v>59.33554326819776</v>
      </c>
      <c r="AK24" s="275">
        <v>26.2</v>
      </c>
      <c r="AL24" s="275">
        <v>79.7</v>
      </c>
      <c r="AM24" s="275">
        <v>0</v>
      </c>
      <c r="AN24" s="275">
        <v>0</v>
      </c>
      <c r="AO24" s="275">
        <v>0</v>
      </c>
      <c r="AP24" s="275">
        <v>0</v>
      </c>
      <c r="AQ24" s="214">
        <v>0.82827899999999999</v>
      </c>
      <c r="AR24" s="417"/>
      <c r="AS24" s="352" t="s">
        <v>247</v>
      </c>
      <c r="AT24" s="353" t="s">
        <v>247</v>
      </c>
      <c r="AU24" s="353" t="s">
        <v>246</v>
      </c>
      <c r="AV24" s="353"/>
      <c r="AW24" s="354"/>
      <c r="AX24" s="353">
        <v>0.5</v>
      </c>
      <c r="AY24" s="353">
        <v>0.55000000000000004</v>
      </c>
      <c r="AZ24" s="353">
        <v>0.55000000000000004</v>
      </c>
      <c r="BA24" s="353"/>
      <c r="BB24" s="353"/>
      <c r="BC24" s="332">
        <v>0.99</v>
      </c>
      <c r="BD24" s="333">
        <v>0.77</v>
      </c>
      <c r="BE24" s="333">
        <v>0.87</v>
      </c>
      <c r="BF24" s="333"/>
      <c r="BG24" s="333"/>
      <c r="BH24" s="423" t="s">
        <v>346</v>
      </c>
      <c r="BI24" s="422"/>
      <c r="BJ24" s="334"/>
      <c r="BK24" s="422"/>
      <c r="BL24" s="434">
        <f t="shared" si="0"/>
        <v>0.87</v>
      </c>
    </row>
    <row r="25" spans="2:64" s="344" customFormat="1" ht="20.05" customHeight="1" x14ac:dyDescent="0.6">
      <c r="B25" s="342" t="s">
        <v>267</v>
      </c>
      <c r="C25" s="298"/>
      <c r="D25" s="302" t="s">
        <v>247</v>
      </c>
      <c r="E25" s="341"/>
      <c r="G25" s="254" t="s">
        <v>65</v>
      </c>
      <c r="H25" s="259" t="s">
        <v>113</v>
      </c>
      <c r="I25" s="259" t="s">
        <v>136</v>
      </c>
      <c r="J25" s="255">
        <v>7.8</v>
      </c>
      <c r="K25" s="255">
        <v>0.55000000000000004</v>
      </c>
      <c r="L25" s="255">
        <v>0.55000000000000004</v>
      </c>
      <c r="M25" s="257">
        <v>2935.2811827866822</v>
      </c>
      <c r="N25" s="257">
        <v>0</v>
      </c>
      <c r="O25" s="257">
        <v>0</v>
      </c>
      <c r="P25" s="257" t="s">
        <v>246</v>
      </c>
      <c r="Q25" s="257">
        <f>IF(P25="","",VLOOKUP(P25,'Listen und Kennwerte'!$B$4:$O$11,2,FALSE))</f>
        <v>28</v>
      </c>
      <c r="R25" s="257">
        <f>IF(P25="","",VLOOKUP(P25,'Listen und Kennwerte'!$B$4:$O$11,2,FALSE))</f>
        <v>28</v>
      </c>
      <c r="S25" s="260">
        <f>IF(P25="","",VLOOKUP(P25,'Listen und Kennwerte'!$B$4:$O$11,8,FALSE))</f>
        <v>12500</v>
      </c>
      <c r="T25" s="260">
        <f>IF(P25="","",VLOOKUP(P25,'Listen und Kennwerte'!$B$4:$O$11,9,FALSE))</f>
        <v>10400</v>
      </c>
      <c r="U25" s="260">
        <f>IF(P25="","",VLOOKUP(P25,'Listen und Kennwerte'!$B$4:$O$11,12,FALSE))</f>
        <v>540</v>
      </c>
      <c r="V25" s="255">
        <v>0.6</v>
      </c>
      <c r="W25" s="256">
        <v>1.3</v>
      </c>
      <c r="X25" s="230"/>
      <c r="Y25" s="264">
        <v>49.13</v>
      </c>
      <c r="Z25" s="263">
        <v>0.81</v>
      </c>
      <c r="AA25" s="263">
        <v>0.89</v>
      </c>
      <c r="AB25" s="263">
        <v>1</v>
      </c>
      <c r="AC25" s="265" t="s">
        <v>304</v>
      </c>
      <c r="AD25" s="265">
        <v>9703.4088687163039</v>
      </c>
      <c r="AE25" s="265">
        <v>0</v>
      </c>
      <c r="AF25" s="265">
        <v>0</v>
      </c>
      <c r="AG25" s="208">
        <v>0.84</v>
      </c>
      <c r="AH25" s="239"/>
      <c r="AI25" s="262">
        <v>19.5</v>
      </c>
      <c r="AJ25" s="264">
        <v>57.237983064340305</v>
      </c>
      <c r="AK25" s="264">
        <v>25.9</v>
      </c>
      <c r="AL25" s="264">
        <v>75.959999999999994</v>
      </c>
      <c r="AM25" s="264">
        <v>0</v>
      </c>
      <c r="AN25" s="264">
        <v>0</v>
      </c>
      <c r="AO25" s="264">
        <v>0</v>
      </c>
      <c r="AP25" s="264">
        <v>0</v>
      </c>
      <c r="AQ25" s="209">
        <v>0.77576299999999998</v>
      </c>
      <c r="AR25" s="417"/>
      <c r="AS25" s="349" t="s">
        <v>247</v>
      </c>
      <c r="AT25" s="350" t="s">
        <v>247</v>
      </c>
      <c r="AU25" s="350" t="s">
        <v>246</v>
      </c>
      <c r="AV25" s="350"/>
      <c r="AW25" s="351"/>
      <c r="AX25" s="350">
        <v>0.5</v>
      </c>
      <c r="AY25" s="350">
        <v>0.55000000000000004</v>
      </c>
      <c r="AZ25" s="350">
        <v>0.55000000000000004</v>
      </c>
      <c r="BA25" s="350"/>
      <c r="BB25" s="350"/>
      <c r="BC25" s="329">
        <v>0.96</v>
      </c>
      <c r="BD25" s="330">
        <v>0.75</v>
      </c>
      <c r="BE25" s="330">
        <v>0.84</v>
      </c>
      <c r="BF25" s="330"/>
      <c r="BG25" s="330"/>
      <c r="BH25" s="418" t="s">
        <v>346</v>
      </c>
      <c r="BI25" s="422"/>
      <c r="BJ25" s="331"/>
      <c r="BK25" s="422"/>
      <c r="BL25" s="434">
        <f t="shared" si="0"/>
        <v>0.84</v>
      </c>
    </row>
    <row r="26" spans="2:64" s="344" customFormat="1" ht="20.05" customHeight="1" x14ac:dyDescent="0.6">
      <c r="B26" s="342" t="s">
        <v>268</v>
      </c>
      <c r="C26" s="298"/>
      <c r="D26" s="302" t="s">
        <v>177</v>
      </c>
      <c r="E26" s="341"/>
      <c r="G26" s="267" t="s">
        <v>66</v>
      </c>
      <c r="H26" s="270" t="s">
        <v>113</v>
      </c>
      <c r="I26" s="270" t="s">
        <v>136</v>
      </c>
      <c r="J26" s="241">
        <v>7.8</v>
      </c>
      <c r="K26" s="241">
        <v>0.6</v>
      </c>
      <c r="L26" s="241">
        <v>0.6</v>
      </c>
      <c r="M26" s="268">
        <v>3945.3104395310675</v>
      </c>
      <c r="N26" s="268">
        <v>0</v>
      </c>
      <c r="O26" s="268">
        <v>0</v>
      </c>
      <c r="P26" s="268" t="s">
        <v>247</v>
      </c>
      <c r="Q26" s="268">
        <f>IF(P26="","",VLOOKUP(P26,'Listen und Kennwerte'!$B$4:$O$11,2,FALSE))</f>
        <v>32</v>
      </c>
      <c r="R26" s="268">
        <f>IF(P26="","",VLOOKUP(P26,'Listen und Kennwerte'!$B$4:$O$11,2,FALSE))</f>
        <v>32</v>
      </c>
      <c r="S26" s="271">
        <f>IF(P26="","",VLOOKUP(P26,'Listen und Kennwerte'!$B$4:$O$11,8,FALSE))</f>
        <v>13700</v>
      </c>
      <c r="T26" s="271">
        <f>IF(P26="","",VLOOKUP(P26,'Listen und Kennwerte'!$B$4:$O$11,9,FALSE))</f>
        <v>11100</v>
      </c>
      <c r="U26" s="271">
        <f>IF(P26="","",VLOOKUP(P26,'Listen und Kennwerte'!$B$4:$O$11,12,FALSE))</f>
        <v>566.66666666666663</v>
      </c>
      <c r="V26" s="241">
        <v>0.6</v>
      </c>
      <c r="W26" s="242">
        <v>1.3</v>
      </c>
      <c r="X26" s="230"/>
      <c r="Y26" s="275">
        <v>45.03</v>
      </c>
      <c r="Z26" s="274">
        <v>0.77</v>
      </c>
      <c r="AA26" s="274">
        <v>0.91</v>
      </c>
      <c r="AB26" s="274">
        <v>1</v>
      </c>
      <c r="AC26" s="276" t="s">
        <v>304</v>
      </c>
      <c r="AD26" s="276">
        <v>10959.195665364077</v>
      </c>
      <c r="AE26" s="276">
        <v>0</v>
      </c>
      <c r="AF26" s="276">
        <v>0</v>
      </c>
      <c r="AG26" s="213">
        <v>0.82</v>
      </c>
      <c r="AH26" s="239"/>
      <c r="AI26" s="273">
        <v>19.5</v>
      </c>
      <c r="AJ26" s="275">
        <v>76.933553570855821</v>
      </c>
      <c r="AK26" s="275">
        <v>24.8</v>
      </c>
      <c r="AL26" s="275">
        <v>97.82</v>
      </c>
      <c r="AM26" s="275">
        <v>0</v>
      </c>
      <c r="AN26" s="275">
        <v>0</v>
      </c>
      <c r="AO26" s="275">
        <v>0</v>
      </c>
      <c r="AP26" s="275">
        <v>0</v>
      </c>
      <c r="AQ26" s="214">
        <v>0.73458500000000004</v>
      </c>
      <c r="AR26" s="417"/>
      <c r="AS26" s="352" t="s">
        <v>247</v>
      </c>
      <c r="AT26" s="353" t="s">
        <v>247</v>
      </c>
      <c r="AU26" s="353"/>
      <c r="AV26" s="353"/>
      <c r="AW26" s="354"/>
      <c r="AX26" s="353">
        <v>0.5</v>
      </c>
      <c r="AY26" s="353">
        <v>0.6</v>
      </c>
      <c r="AZ26" s="353"/>
      <c r="BA26" s="353"/>
      <c r="BB26" s="353"/>
      <c r="BC26" s="332">
        <v>1.6</v>
      </c>
      <c r="BD26" s="333">
        <v>0.82</v>
      </c>
      <c r="BE26" s="333"/>
      <c r="BF26" s="333"/>
      <c r="BG26" s="333"/>
      <c r="BH26" s="423" t="s">
        <v>346</v>
      </c>
      <c r="BI26" s="422"/>
      <c r="BJ26" s="334"/>
      <c r="BK26" s="422"/>
      <c r="BL26" s="434">
        <f t="shared" si="0"/>
        <v>0.82</v>
      </c>
    </row>
    <row r="27" spans="2:64" s="344" customFormat="1" ht="20.05" customHeight="1" x14ac:dyDescent="0.6">
      <c r="B27" s="342"/>
      <c r="C27" s="298"/>
      <c r="D27" s="299"/>
      <c r="E27" s="341"/>
      <c r="G27" s="254" t="s">
        <v>67</v>
      </c>
      <c r="H27" s="259" t="s">
        <v>113</v>
      </c>
      <c r="I27" s="259" t="s">
        <v>136</v>
      </c>
      <c r="J27" s="255">
        <v>3.5999999999999996</v>
      </c>
      <c r="K27" s="255">
        <v>0.6</v>
      </c>
      <c r="L27" s="255">
        <v>0.6</v>
      </c>
      <c r="M27" s="257">
        <v>3230.8376300811778</v>
      </c>
      <c r="N27" s="257">
        <v>0</v>
      </c>
      <c r="O27" s="257">
        <v>85.5</v>
      </c>
      <c r="P27" s="257" t="s">
        <v>246</v>
      </c>
      <c r="Q27" s="257">
        <f>IF(P27="","",VLOOKUP(P27,'Listen und Kennwerte'!$B$4:$O$11,2,FALSE))</f>
        <v>28</v>
      </c>
      <c r="R27" s="257">
        <f>IF(P27="","",VLOOKUP(P27,'Listen und Kennwerte'!$B$4:$O$11,2,FALSE))</f>
        <v>28</v>
      </c>
      <c r="S27" s="260">
        <f>IF(P27="","",VLOOKUP(P27,'Listen und Kennwerte'!$B$4:$O$11,8,FALSE))</f>
        <v>12500</v>
      </c>
      <c r="T27" s="260">
        <f>IF(P27="","",VLOOKUP(P27,'Listen und Kennwerte'!$B$4:$O$11,9,FALSE))</f>
        <v>10400</v>
      </c>
      <c r="U27" s="260">
        <f>IF(P27="","",VLOOKUP(P27,'Listen und Kennwerte'!$B$4:$O$11,12,FALSE))</f>
        <v>540</v>
      </c>
      <c r="V27" s="255">
        <v>0.6</v>
      </c>
      <c r="W27" s="256">
        <v>1.3</v>
      </c>
      <c r="X27" s="230"/>
      <c r="Y27" s="264">
        <v>20.78</v>
      </c>
      <c r="Z27" s="263">
        <v>0.34</v>
      </c>
      <c r="AA27" s="263">
        <v>1</v>
      </c>
      <c r="AB27" s="263">
        <v>1</v>
      </c>
      <c r="AC27" s="265" t="s">
        <v>304</v>
      </c>
      <c r="AD27" s="265">
        <v>8974.5489724477175</v>
      </c>
      <c r="AE27" s="265">
        <v>0</v>
      </c>
      <c r="AF27" s="265">
        <v>2375</v>
      </c>
      <c r="AG27" s="208">
        <v>0.88</v>
      </c>
      <c r="AH27" s="239"/>
      <c r="AI27" s="262">
        <v>9</v>
      </c>
      <c r="AJ27" s="264">
        <v>29.077538670730597</v>
      </c>
      <c r="AK27" s="264">
        <v>10.5</v>
      </c>
      <c r="AL27" s="264">
        <v>119.46</v>
      </c>
      <c r="AM27" s="264">
        <v>0</v>
      </c>
      <c r="AN27" s="264">
        <v>85.5</v>
      </c>
      <c r="AO27" s="264">
        <v>1.1000000000000001</v>
      </c>
      <c r="AP27" s="264">
        <v>89.14</v>
      </c>
      <c r="AQ27" s="209">
        <v>0.73904899999999996</v>
      </c>
      <c r="AR27" s="417"/>
      <c r="AS27" s="349" t="s">
        <v>247</v>
      </c>
      <c r="AT27" s="350" t="s">
        <v>247</v>
      </c>
      <c r="AU27" s="350" t="s">
        <v>246</v>
      </c>
      <c r="AV27" s="350"/>
      <c r="AW27" s="351"/>
      <c r="AX27" s="350">
        <v>0.5</v>
      </c>
      <c r="AY27" s="350">
        <v>0.6</v>
      </c>
      <c r="AZ27" s="350">
        <v>0.6</v>
      </c>
      <c r="BA27" s="350"/>
      <c r="BB27" s="350"/>
      <c r="BC27" s="329">
        <v>1.18</v>
      </c>
      <c r="BD27" s="330">
        <v>0.77</v>
      </c>
      <c r="BE27" s="330">
        <v>0.88</v>
      </c>
      <c r="BF27" s="330"/>
      <c r="BG27" s="330"/>
      <c r="BH27" s="418" t="s">
        <v>346</v>
      </c>
      <c r="BI27" s="422"/>
      <c r="BJ27" s="331"/>
      <c r="BK27" s="422"/>
      <c r="BL27" s="434">
        <f t="shared" si="0"/>
        <v>0.88</v>
      </c>
    </row>
    <row r="28" spans="2:64" s="344" customFormat="1" ht="20.05" customHeight="1" x14ac:dyDescent="0.6">
      <c r="B28" s="342" t="s">
        <v>270</v>
      </c>
      <c r="C28" s="298"/>
      <c r="D28" s="299"/>
      <c r="E28" s="341"/>
      <c r="G28" s="267" t="s">
        <v>68</v>
      </c>
      <c r="H28" s="270" t="s">
        <v>113</v>
      </c>
      <c r="I28" s="270" t="s">
        <v>136</v>
      </c>
      <c r="J28" s="241">
        <v>3.5999999999999996</v>
      </c>
      <c r="K28" s="241">
        <v>0.65</v>
      </c>
      <c r="L28" s="241">
        <v>0.65</v>
      </c>
      <c r="M28" s="268">
        <v>3761.6399336242698</v>
      </c>
      <c r="N28" s="268">
        <v>0</v>
      </c>
      <c r="O28" s="268">
        <v>112.5</v>
      </c>
      <c r="P28" s="268" t="s">
        <v>246</v>
      </c>
      <c r="Q28" s="268">
        <f>IF(P28="","",VLOOKUP(P28,'Listen und Kennwerte'!$B$4:$O$11,2,FALSE))</f>
        <v>28</v>
      </c>
      <c r="R28" s="268">
        <f>IF(P28="","",VLOOKUP(P28,'Listen und Kennwerte'!$B$4:$O$11,2,FALSE))</f>
        <v>28</v>
      </c>
      <c r="S28" s="271">
        <f>IF(P28="","",VLOOKUP(P28,'Listen und Kennwerte'!$B$4:$O$11,8,FALSE))</f>
        <v>12500</v>
      </c>
      <c r="T28" s="271">
        <f>IF(P28="","",VLOOKUP(P28,'Listen und Kennwerte'!$B$4:$O$11,9,FALSE))</f>
        <v>10400</v>
      </c>
      <c r="U28" s="271">
        <f>IF(P28="","",VLOOKUP(P28,'Listen und Kennwerte'!$B$4:$O$11,12,FALSE))</f>
        <v>540</v>
      </c>
      <c r="V28" s="241">
        <v>0.6</v>
      </c>
      <c r="W28" s="242">
        <v>1.3</v>
      </c>
      <c r="X28" s="230"/>
      <c r="Y28" s="275">
        <v>19.190000000000001</v>
      </c>
      <c r="Z28" s="274">
        <v>0.32</v>
      </c>
      <c r="AA28" s="274">
        <v>1</v>
      </c>
      <c r="AB28" s="274">
        <v>1</v>
      </c>
      <c r="AC28" s="276" t="s">
        <v>304</v>
      </c>
      <c r="AD28" s="276">
        <v>8903.2897837260807</v>
      </c>
      <c r="AE28" s="276">
        <v>0</v>
      </c>
      <c r="AF28" s="276">
        <v>2457.9</v>
      </c>
      <c r="AG28" s="213">
        <v>0.88</v>
      </c>
      <c r="AH28" s="239"/>
      <c r="AI28" s="273">
        <v>9</v>
      </c>
      <c r="AJ28" s="275">
        <v>33.854759402618427</v>
      </c>
      <c r="AK28" s="275">
        <v>10.3</v>
      </c>
      <c r="AL28" s="275">
        <v>151.58000000000001</v>
      </c>
      <c r="AM28" s="275">
        <v>0</v>
      </c>
      <c r="AN28" s="275">
        <v>112.5</v>
      </c>
      <c r="AO28" s="275">
        <v>1</v>
      </c>
      <c r="AP28" s="275">
        <v>116.52</v>
      </c>
      <c r="AQ28" s="214">
        <v>0.73090900000000003</v>
      </c>
      <c r="AR28" s="417"/>
      <c r="AS28" s="352" t="s">
        <v>247</v>
      </c>
      <c r="AT28" s="353" t="s">
        <v>247</v>
      </c>
      <c r="AU28" s="353" t="s">
        <v>247</v>
      </c>
      <c r="AV28" s="353" t="s">
        <v>246</v>
      </c>
      <c r="AW28" s="354"/>
      <c r="AX28" s="353">
        <v>0.5</v>
      </c>
      <c r="AY28" s="353">
        <v>0.6</v>
      </c>
      <c r="AZ28" s="353">
        <v>0.65</v>
      </c>
      <c r="BA28" s="353">
        <v>0.65</v>
      </c>
      <c r="BB28" s="353"/>
      <c r="BC28" s="332">
        <v>1.57</v>
      </c>
      <c r="BD28" s="333">
        <v>0.93</v>
      </c>
      <c r="BE28" s="333">
        <v>0.77</v>
      </c>
      <c r="BF28" s="333">
        <v>0.88</v>
      </c>
      <c r="BG28" s="333"/>
      <c r="BH28" s="423" t="s">
        <v>346</v>
      </c>
      <c r="BI28" s="422"/>
      <c r="BJ28" s="334"/>
      <c r="BK28" s="422"/>
      <c r="BL28" s="434">
        <f t="shared" si="0"/>
        <v>0.88</v>
      </c>
    </row>
    <row r="29" spans="2:64" s="344" customFormat="1" ht="20.05" customHeight="1" x14ac:dyDescent="0.6">
      <c r="B29" s="342" t="s">
        <v>267</v>
      </c>
      <c r="C29" s="298"/>
      <c r="D29" s="302">
        <v>0.8</v>
      </c>
      <c r="E29" s="341" t="s">
        <v>40</v>
      </c>
      <c r="G29" s="254" t="s">
        <v>69</v>
      </c>
      <c r="H29" s="259" t="s">
        <v>113</v>
      </c>
      <c r="I29" s="259" t="s">
        <v>136</v>
      </c>
      <c r="J29" s="255">
        <v>3.5999999999999996</v>
      </c>
      <c r="K29" s="255">
        <v>0.6</v>
      </c>
      <c r="L29" s="255">
        <v>0.6</v>
      </c>
      <c r="M29" s="257">
        <v>2188.8659886932364</v>
      </c>
      <c r="N29" s="257">
        <v>112.5</v>
      </c>
      <c r="O29" s="257">
        <v>85.5</v>
      </c>
      <c r="P29" s="257" t="s">
        <v>246</v>
      </c>
      <c r="Q29" s="257">
        <f>IF(P29="","",VLOOKUP(P29,'Listen und Kennwerte'!$B$4:$O$11,2,FALSE))</f>
        <v>28</v>
      </c>
      <c r="R29" s="257">
        <f>IF(P29="","",VLOOKUP(P29,'Listen und Kennwerte'!$B$4:$O$11,2,FALSE))</f>
        <v>28</v>
      </c>
      <c r="S29" s="260">
        <f>IF(P29="","",VLOOKUP(P29,'Listen und Kennwerte'!$B$4:$O$11,8,FALSE))</f>
        <v>12500</v>
      </c>
      <c r="T29" s="260">
        <f>IF(P29="","",VLOOKUP(P29,'Listen und Kennwerte'!$B$4:$O$11,9,FALSE))</f>
        <v>10400</v>
      </c>
      <c r="U29" s="260">
        <f>IF(P29="","",VLOOKUP(P29,'Listen und Kennwerte'!$B$4:$O$11,12,FALSE))</f>
        <v>540</v>
      </c>
      <c r="V29" s="255">
        <v>0.6</v>
      </c>
      <c r="W29" s="256">
        <v>1.3</v>
      </c>
      <c r="X29" s="230"/>
      <c r="Y29" s="264">
        <v>20.78</v>
      </c>
      <c r="Z29" s="263">
        <v>0.34</v>
      </c>
      <c r="AA29" s="263">
        <v>1</v>
      </c>
      <c r="AB29" s="263">
        <v>1</v>
      </c>
      <c r="AC29" s="265" t="s">
        <v>304</v>
      </c>
      <c r="AD29" s="265">
        <v>6080.1833019256574</v>
      </c>
      <c r="AE29" s="265">
        <v>3125</v>
      </c>
      <c r="AF29" s="265">
        <v>2375</v>
      </c>
      <c r="AG29" s="208">
        <v>0.84</v>
      </c>
      <c r="AH29" s="239"/>
      <c r="AI29" s="262">
        <v>9</v>
      </c>
      <c r="AJ29" s="264">
        <v>132.19979389823914</v>
      </c>
      <c r="AK29" s="264">
        <v>10.3</v>
      </c>
      <c r="AL29" s="264">
        <v>108.19</v>
      </c>
      <c r="AM29" s="264">
        <v>0</v>
      </c>
      <c r="AN29" s="264">
        <v>85.5</v>
      </c>
      <c r="AO29" s="264">
        <v>1.1000000000000001</v>
      </c>
      <c r="AP29" s="264">
        <v>87.94</v>
      </c>
      <c r="AQ29" s="209">
        <v>0.64592099999999997</v>
      </c>
      <c r="AR29" s="417"/>
      <c r="AS29" s="349" t="s">
        <v>247</v>
      </c>
      <c r="AT29" s="350" t="s">
        <v>247</v>
      </c>
      <c r="AU29" s="350" t="s">
        <v>246</v>
      </c>
      <c r="AV29" s="350"/>
      <c r="AW29" s="351"/>
      <c r="AX29" s="350">
        <v>0.5</v>
      </c>
      <c r="AY29" s="350">
        <v>0.6</v>
      </c>
      <c r="AZ29" s="350">
        <v>0.6</v>
      </c>
      <c r="BA29" s="350"/>
      <c r="BB29" s="350"/>
      <c r="BC29" s="329">
        <v>1.17</v>
      </c>
      <c r="BD29" s="330">
        <v>0.74</v>
      </c>
      <c r="BE29" s="330">
        <v>0.84</v>
      </c>
      <c r="BF29" s="330"/>
      <c r="BG29" s="330"/>
      <c r="BH29" s="418" t="s">
        <v>346</v>
      </c>
      <c r="BI29" s="422"/>
      <c r="BJ29" s="331"/>
      <c r="BK29" s="422"/>
      <c r="BL29" s="434">
        <f t="shared" si="0"/>
        <v>0.84</v>
      </c>
    </row>
    <row r="30" spans="2:64" s="344" customFormat="1" ht="20.05" customHeight="1" x14ac:dyDescent="0.6">
      <c r="B30" s="342" t="s">
        <v>268</v>
      </c>
      <c r="C30" s="298"/>
      <c r="D30" s="302">
        <v>0.3</v>
      </c>
      <c r="E30" s="341" t="s">
        <v>40</v>
      </c>
      <c r="G30" s="267" t="s">
        <v>70</v>
      </c>
      <c r="H30" s="270" t="s">
        <v>113</v>
      </c>
      <c r="I30" s="270" t="s">
        <v>136</v>
      </c>
      <c r="J30" s="241">
        <v>3.5999999999999996</v>
      </c>
      <c r="K30" s="241">
        <v>0.55000000000000004</v>
      </c>
      <c r="L30" s="241">
        <v>0.55000000000000004</v>
      </c>
      <c r="M30" s="268">
        <v>2453.3247816467283</v>
      </c>
      <c r="N30" s="268">
        <v>85.5</v>
      </c>
      <c r="O30" s="268">
        <v>0</v>
      </c>
      <c r="P30" s="268" t="s">
        <v>246</v>
      </c>
      <c r="Q30" s="268">
        <f>IF(P30="","",VLOOKUP(P30,'Listen und Kennwerte'!$B$4:$O$11,2,FALSE))</f>
        <v>28</v>
      </c>
      <c r="R30" s="268">
        <f>IF(P30="","",VLOOKUP(P30,'Listen und Kennwerte'!$B$4:$O$11,2,FALSE))</f>
        <v>28</v>
      </c>
      <c r="S30" s="271">
        <f>IF(P30="","",VLOOKUP(P30,'Listen und Kennwerte'!$B$4:$O$11,8,FALSE))</f>
        <v>12500</v>
      </c>
      <c r="T30" s="271">
        <f>IF(P30="","",VLOOKUP(P30,'Listen und Kennwerte'!$B$4:$O$11,9,FALSE))</f>
        <v>10400</v>
      </c>
      <c r="U30" s="271">
        <f>IF(P30="","",VLOOKUP(P30,'Listen und Kennwerte'!$B$4:$O$11,12,FALSE))</f>
        <v>540</v>
      </c>
      <c r="V30" s="241">
        <v>0.6</v>
      </c>
      <c r="W30" s="242">
        <v>1.3</v>
      </c>
      <c r="X30" s="230"/>
      <c r="Y30" s="275">
        <v>22.67</v>
      </c>
      <c r="Z30" s="274">
        <v>0.37</v>
      </c>
      <c r="AA30" s="274">
        <v>0.99</v>
      </c>
      <c r="AB30" s="274">
        <v>1</v>
      </c>
      <c r="AC30" s="276" t="s">
        <v>304</v>
      </c>
      <c r="AD30" s="276">
        <v>8110.1645674271995</v>
      </c>
      <c r="AE30" s="276">
        <v>3083.4</v>
      </c>
      <c r="AF30" s="276">
        <v>0</v>
      </c>
      <c r="AG30" s="213">
        <v>0.87</v>
      </c>
      <c r="AH30" s="239"/>
      <c r="AI30" s="273">
        <v>9</v>
      </c>
      <c r="AJ30" s="275">
        <v>107.57992303482055</v>
      </c>
      <c r="AK30" s="275">
        <v>9.4</v>
      </c>
      <c r="AL30" s="275">
        <v>23.09</v>
      </c>
      <c r="AM30" s="275">
        <v>0</v>
      </c>
      <c r="AN30" s="275">
        <v>0</v>
      </c>
      <c r="AO30" s="275">
        <v>0</v>
      </c>
      <c r="AP30" s="275">
        <v>0</v>
      </c>
      <c r="AQ30" s="214">
        <v>0.70787299999999997</v>
      </c>
      <c r="AR30" s="417"/>
      <c r="AS30" s="352" t="s">
        <v>247</v>
      </c>
      <c r="AT30" s="353" t="s">
        <v>247</v>
      </c>
      <c r="AU30" s="353" t="s">
        <v>246</v>
      </c>
      <c r="AV30" s="353"/>
      <c r="AW30" s="354"/>
      <c r="AX30" s="353">
        <v>0.5</v>
      </c>
      <c r="AY30" s="353">
        <v>0.55000000000000004</v>
      </c>
      <c r="AZ30" s="353">
        <v>0.55000000000000004</v>
      </c>
      <c r="BA30" s="353"/>
      <c r="BB30" s="353"/>
      <c r="BC30" s="332">
        <v>0.96</v>
      </c>
      <c r="BD30" s="333">
        <v>0.76</v>
      </c>
      <c r="BE30" s="333">
        <v>0.87</v>
      </c>
      <c r="BF30" s="333"/>
      <c r="BG30" s="333"/>
      <c r="BH30" s="423" t="s">
        <v>346</v>
      </c>
      <c r="BI30" s="422"/>
      <c r="BJ30" s="334"/>
      <c r="BK30" s="422"/>
      <c r="BL30" s="434">
        <f t="shared" si="0"/>
        <v>0.87</v>
      </c>
    </row>
    <row r="31" spans="2:64" s="344" customFormat="1" ht="20.05" customHeight="1" x14ac:dyDescent="0.6">
      <c r="B31" s="342" t="s">
        <v>283</v>
      </c>
      <c r="C31" s="298"/>
      <c r="D31" s="302">
        <v>0.05</v>
      </c>
      <c r="E31" s="341" t="s">
        <v>40</v>
      </c>
      <c r="G31" s="254" t="s">
        <v>71</v>
      </c>
      <c r="H31" s="259" t="s">
        <v>113</v>
      </c>
      <c r="I31" s="259" t="s">
        <v>136</v>
      </c>
      <c r="J31" s="255">
        <v>3.5999999999999996</v>
      </c>
      <c r="K31" s="255">
        <v>0.6</v>
      </c>
      <c r="L31" s="255">
        <v>0.6</v>
      </c>
      <c r="M31" s="257">
        <v>2893.0264098358148</v>
      </c>
      <c r="N31" s="257">
        <v>85.5</v>
      </c>
      <c r="O31" s="257">
        <v>0</v>
      </c>
      <c r="P31" s="257" t="s">
        <v>246</v>
      </c>
      <c r="Q31" s="257">
        <f>IF(P31="","",VLOOKUP(P31,'Listen und Kennwerte'!$B$4:$O$11,2,FALSE))</f>
        <v>28</v>
      </c>
      <c r="R31" s="257">
        <f>IF(P31="","",VLOOKUP(P31,'Listen und Kennwerte'!$B$4:$O$11,2,FALSE))</f>
        <v>28</v>
      </c>
      <c r="S31" s="260">
        <f>IF(P31="","",VLOOKUP(P31,'Listen und Kennwerte'!$B$4:$O$11,8,FALSE))</f>
        <v>12500</v>
      </c>
      <c r="T31" s="260">
        <f>IF(P31="","",VLOOKUP(P31,'Listen und Kennwerte'!$B$4:$O$11,9,FALSE))</f>
        <v>10400</v>
      </c>
      <c r="U31" s="260">
        <f>IF(P31="","",VLOOKUP(P31,'Listen und Kennwerte'!$B$4:$O$11,12,FALSE))</f>
        <v>540</v>
      </c>
      <c r="V31" s="255">
        <v>0.6</v>
      </c>
      <c r="W31" s="256">
        <v>1.3</v>
      </c>
      <c r="X31" s="230"/>
      <c r="Y31" s="264">
        <v>20.78</v>
      </c>
      <c r="Z31" s="263">
        <v>0.34</v>
      </c>
      <c r="AA31" s="263">
        <v>1</v>
      </c>
      <c r="AB31" s="263">
        <v>1</v>
      </c>
      <c r="AC31" s="265" t="s">
        <v>304</v>
      </c>
      <c r="AD31" s="265">
        <v>8036.1844717661525</v>
      </c>
      <c r="AE31" s="265">
        <v>2375</v>
      </c>
      <c r="AF31" s="265">
        <v>0</v>
      </c>
      <c r="AG31" s="208">
        <v>0.81</v>
      </c>
      <c r="AH31" s="239"/>
      <c r="AI31" s="262">
        <v>9</v>
      </c>
      <c r="AJ31" s="264">
        <v>111.53723768852234</v>
      </c>
      <c r="AK31" s="264">
        <v>9.3000000000000007</v>
      </c>
      <c r="AL31" s="264">
        <v>27.02</v>
      </c>
      <c r="AM31" s="264">
        <v>0</v>
      </c>
      <c r="AN31" s="264">
        <v>0</v>
      </c>
      <c r="AO31" s="264">
        <v>0</v>
      </c>
      <c r="AP31" s="264">
        <v>0</v>
      </c>
      <c r="AQ31" s="209">
        <v>0.63556000000000001</v>
      </c>
      <c r="AR31" s="417"/>
      <c r="AS31" s="349" t="s">
        <v>247</v>
      </c>
      <c r="AT31" s="350" t="s">
        <v>247</v>
      </c>
      <c r="AU31" s="350" t="s">
        <v>246</v>
      </c>
      <c r="AV31" s="350"/>
      <c r="AW31" s="351"/>
      <c r="AX31" s="350">
        <v>0.5</v>
      </c>
      <c r="AY31" s="350">
        <v>0.6</v>
      </c>
      <c r="AZ31" s="350">
        <v>0.6</v>
      </c>
      <c r="BA31" s="350"/>
      <c r="BB31" s="350"/>
      <c r="BC31" s="329">
        <v>1.08</v>
      </c>
      <c r="BD31" s="330">
        <v>0.71</v>
      </c>
      <c r="BE31" s="330">
        <v>0.81</v>
      </c>
      <c r="BF31" s="330"/>
      <c r="BG31" s="330"/>
      <c r="BH31" s="418" t="s">
        <v>346</v>
      </c>
      <c r="BI31" s="422"/>
      <c r="BJ31" s="331"/>
      <c r="BK31" s="422"/>
      <c r="BL31" s="434">
        <f t="shared" si="0"/>
        <v>0.81</v>
      </c>
    </row>
    <row r="32" spans="2:64" s="344" customFormat="1" ht="20.05" customHeight="1" x14ac:dyDescent="0.6">
      <c r="B32" s="342"/>
      <c r="C32" s="298"/>
      <c r="D32" s="299"/>
      <c r="E32" s="341"/>
      <c r="G32" s="267" t="s">
        <v>72</v>
      </c>
      <c r="H32" s="270" t="s">
        <v>113</v>
      </c>
      <c r="I32" s="270" t="s">
        <v>136</v>
      </c>
      <c r="J32" s="241">
        <v>3.5999999999999996</v>
      </c>
      <c r="K32" s="241">
        <v>0.6</v>
      </c>
      <c r="L32" s="241">
        <v>0.6</v>
      </c>
      <c r="M32" s="268">
        <v>2870.7379728698738</v>
      </c>
      <c r="N32" s="268">
        <v>85.5</v>
      </c>
      <c r="O32" s="268">
        <v>0</v>
      </c>
      <c r="P32" s="268" t="s">
        <v>246</v>
      </c>
      <c r="Q32" s="268">
        <f>IF(P32="","",VLOOKUP(P32,'Listen und Kennwerte'!$B$4:$O$11,2,FALSE))</f>
        <v>28</v>
      </c>
      <c r="R32" s="268">
        <f>IF(P32="","",VLOOKUP(P32,'Listen und Kennwerte'!$B$4:$O$11,2,FALSE))</f>
        <v>28</v>
      </c>
      <c r="S32" s="271">
        <f>IF(P32="","",VLOOKUP(P32,'Listen und Kennwerte'!$B$4:$O$11,8,FALSE))</f>
        <v>12500</v>
      </c>
      <c r="T32" s="271">
        <f>IF(P32="","",VLOOKUP(P32,'Listen und Kennwerte'!$B$4:$O$11,9,FALSE))</f>
        <v>10400</v>
      </c>
      <c r="U32" s="271">
        <f>IF(P32="","",VLOOKUP(P32,'Listen und Kennwerte'!$B$4:$O$11,12,FALSE))</f>
        <v>540</v>
      </c>
      <c r="V32" s="241">
        <v>0.6</v>
      </c>
      <c r="W32" s="242">
        <v>1.3</v>
      </c>
      <c r="X32" s="230"/>
      <c r="Y32" s="275">
        <v>20.78</v>
      </c>
      <c r="Z32" s="274">
        <v>0.34</v>
      </c>
      <c r="AA32" s="274">
        <v>1</v>
      </c>
      <c r="AB32" s="274">
        <v>1</v>
      </c>
      <c r="AC32" s="276" t="s">
        <v>304</v>
      </c>
      <c r="AD32" s="276">
        <v>7974.2721468607606</v>
      </c>
      <c r="AE32" s="276">
        <v>2375</v>
      </c>
      <c r="AF32" s="276">
        <v>0</v>
      </c>
      <c r="AG32" s="213">
        <v>0.8</v>
      </c>
      <c r="AH32" s="239"/>
      <c r="AI32" s="273">
        <v>9</v>
      </c>
      <c r="AJ32" s="275">
        <v>111.33664175582886</v>
      </c>
      <c r="AK32" s="275">
        <v>9.3000000000000007</v>
      </c>
      <c r="AL32" s="275">
        <v>26.81</v>
      </c>
      <c r="AM32" s="275">
        <v>0</v>
      </c>
      <c r="AN32" s="275">
        <v>0</v>
      </c>
      <c r="AO32" s="275">
        <v>0</v>
      </c>
      <c r="AP32" s="275">
        <v>0</v>
      </c>
      <c r="AQ32" s="214">
        <v>0.62910900000000003</v>
      </c>
      <c r="AR32" s="417"/>
      <c r="AS32" s="352" t="s">
        <v>247</v>
      </c>
      <c r="AT32" s="353" t="s">
        <v>247</v>
      </c>
      <c r="AU32" s="353" t="s">
        <v>246</v>
      </c>
      <c r="AV32" s="353"/>
      <c r="AW32" s="354"/>
      <c r="AX32" s="353">
        <v>0.5</v>
      </c>
      <c r="AY32" s="353">
        <v>0.6</v>
      </c>
      <c r="AZ32" s="353">
        <v>0.6</v>
      </c>
      <c r="BA32" s="353"/>
      <c r="BB32" s="353"/>
      <c r="BC32" s="332">
        <v>1.07</v>
      </c>
      <c r="BD32" s="333">
        <v>0.71</v>
      </c>
      <c r="BE32" s="333">
        <v>0.8</v>
      </c>
      <c r="BF32" s="333"/>
      <c r="BG32" s="333"/>
      <c r="BH32" s="423" t="s">
        <v>346</v>
      </c>
      <c r="BI32" s="422"/>
      <c r="BJ32" s="334"/>
      <c r="BK32" s="422"/>
      <c r="BL32" s="434">
        <f t="shared" si="0"/>
        <v>0.8</v>
      </c>
    </row>
    <row r="33" spans="2:64" s="344" customFormat="1" ht="20.05" customHeight="1" x14ac:dyDescent="0.6">
      <c r="B33" s="342" t="s">
        <v>271</v>
      </c>
      <c r="C33" s="298"/>
      <c r="D33" s="299"/>
      <c r="E33" s="341"/>
      <c r="G33" s="254" t="s">
        <v>73</v>
      </c>
      <c r="H33" s="259" t="s">
        <v>113</v>
      </c>
      <c r="I33" s="259" t="s">
        <v>136</v>
      </c>
      <c r="J33" s="255">
        <v>3.5999999999999996</v>
      </c>
      <c r="K33" s="255">
        <v>0.55000000000000004</v>
      </c>
      <c r="L33" s="255">
        <v>0.55000000000000004</v>
      </c>
      <c r="M33" s="257">
        <v>2601.0522328948982</v>
      </c>
      <c r="N33" s="257">
        <v>85.5</v>
      </c>
      <c r="O33" s="257">
        <v>0</v>
      </c>
      <c r="P33" s="257" t="s">
        <v>247</v>
      </c>
      <c r="Q33" s="257">
        <f>IF(P33="","",VLOOKUP(P33,'Listen und Kennwerte'!$B$4:$O$11,2,FALSE))</f>
        <v>32</v>
      </c>
      <c r="R33" s="257">
        <f>IF(P33="","",VLOOKUP(P33,'Listen und Kennwerte'!$B$4:$O$11,2,FALSE))</f>
        <v>32</v>
      </c>
      <c r="S33" s="260">
        <f>IF(P33="","",VLOOKUP(P33,'Listen und Kennwerte'!$B$4:$O$11,8,FALSE))</f>
        <v>13700</v>
      </c>
      <c r="T33" s="260">
        <f>IF(P33="","",VLOOKUP(P33,'Listen und Kennwerte'!$B$4:$O$11,9,FALSE))</f>
        <v>11100</v>
      </c>
      <c r="U33" s="260">
        <f>IF(P33="","",VLOOKUP(P33,'Listen und Kennwerte'!$B$4:$O$11,12,FALSE))</f>
        <v>566.66666666666663</v>
      </c>
      <c r="V33" s="255">
        <v>0.6</v>
      </c>
      <c r="W33" s="256">
        <v>1.3</v>
      </c>
      <c r="X33" s="230"/>
      <c r="Y33" s="264">
        <v>22.67</v>
      </c>
      <c r="Z33" s="263">
        <v>0.39</v>
      </c>
      <c r="AA33" s="263">
        <v>0.99</v>
      </c>
      <c r="AB33" s="263">
        <v>1</v>
      </c>
      <c r="AC33" s="265" t="s">
        <v>304</v>
      </c>
      <c r="AD33" s="265">
        <v>8598.5197781649513</v>
      </c>
      <c r="AE33" s="265">
        <v>3083.4</v>
      </c>
      <c r="AF33" s="265">
        <v>0</v>
      </c>
      <c r="AG33" s="208">
        <v>0.8</v>
      </c>
      <c r="AH33" s="239"/>
      <c r="AI33" s="262">
        <v>9</v>
      </c>
      <c r="AJ33" s="264">
        <v>108.90947009605408</v>
      </c>
      <c r="AK33" s="264">
        <v>9.4</v>
      </c>
      <c r="AL33" s="264">
        <v>24.44</v>
      </c>
      <c r="AM33" s="264">
        <v>0</v>
      </c>
      <c r="AN33" s="264">
        <v>0</v>
      </c>
      <c r="AO33" s="264">
        <v>0</v>
      </c>
      <c r="AP33" s="264">
        <v>0</v>
      </c>
      <c r="AQ33" s="209">
        <v>0.616699</v>
      </c>
      <c r="AR33" s="417"/>
      <c r="AS33" s="349" t="s">
        <v>247</v>
      </c>
      <c r="AT33" s="350" t="s">
        <v>247</v>
      </c>
      <c r="AU33" s="350"/>
      <c r="AV33" s="350"/>
      <c r="AW33" s="351"/>
      <c r="AX33" s="350">
        <v>0.5</v>
      </c>
      <c r="AY33" s="350">
        <v>0.55000000000000004</v>
      </c>
      <c r="AZ33" s="350"/>
      <c r="BA33" s="350"/>
      <c r="BB33" s="350"/>
      <c r="BC33" s="329">
        <v>1</v>
      </c>
      <c r="BD33" s="330">
        <v>0.8</v>
      </c>
      <c r="BE33" s="330"/>
      <c r="BF33" s="330"/>
      <c r="BG33" s="330"/>
      <c r="BH33" s="418" t="s">
        <v>346</v>
      </c>
      <c r="BI33" s="422"/>
      <c r="BJ33" s="331"/>
      <c r="BK33" s="422"/>
      <c r="BL33" s="434">
        <f t="shared" si="0"/>
        <v>0.8</v>
      </c>
    </row>
    <row r="34" spans="2:64" s="344" customFormat="1" ht="20.05" customHeight="1" x14ac:dyDescent="0.6">
      <c r="B34" s="342" t="s">
        <v>267</v>
      </c>
      <c r="C34" s="298"/>
      <c r="D34" s="302">
        <v>0.9</v>
      </c>
      <c r="E34" s="341"/>
      <c r="G34" s="267" t="s">
        <v>74</v>
      </c>
      <c r="H34" s="270" t="s">
        <v>113</v>
      </c>
      <c r="I34" s="270" t="s">
        <v>136</v>
      </c>
      <c r="J34" s="241">
        <v>3.5999999999999996</v>
      </c>
      <c r="K34" s="241">
        <v>0.7</v>
      </c>
      <c r="L34" s="241">
        <v>0.7</v>
      </c>
      <c r="M34" s="268">
        <v>4950.7754038238554</v>
      </c>
      <c r="N34" s="268">
        <v>180</v>
      </c>
      <c r="O34" s="268">
        <v>0</v>
      </c>
      <c r="P34" s="268" t="s">
        <v>247</v>
      </c>
      <c r="Q34" s="268">
        <f>IF(P34="","",VLOOKUP(P34,'Listen und Kennwerte'!$B$4:$O$11,2,FALSE))</f>
        <v>32</v>
      </c>
      <c r="R34" s="268">
        <f>IF(P34="","",VLOOKUP(P34,'Listen und Kennwerte'!$B$4:$O$11,2,FALSE))</f>
        <v>32</v>
      </c>
      <c r="S34" s="271">
        <f>IF(P34="","",VLOOKUP(P34,'Listen und Kennwerte'!$B$4:$O$11,8,FALSE))</f>
        <v>13700</v>
      </c>
      <c r="T34" s="271">
        <f>IF(P34="","",VLOOKUP(P34,'Listen und Kennwerte'!$B$4:$O$11,9,FALSE))</f>
        <v>11100</v>
      </c>
      <c r="U34" s="271">
        <f>IF(P34="","",VLOOKUP(P34,'Listen und Kennwerte'!$B$4:$O$11,12,FALSE))</f>
        <v>566.66666666666663</v>
      </c>
      <c r="V34" s="241">
        <v>0.6</v>
      </c>
      <c r="W34" s="242">
        <v>1.3</v>
      </c>
      <c r="X34" s="230"/>
      <c r="Y34" s="275">
        <v>17.82</v>
      </c>
      <c r="Z34" s="274">
        <v>0.3</v>
      </c>
      <c r="AA34" s="274">
        <v>1</v>
      </c>
      <c r="AB34" s="274">
        <v>1</v>
      </c>
      <c r="AC34" s="276" t="s">
        <v>362</v>
      </c>
      <c r="AD34" s="276">
        <v>10103.62327310991</v>
      </c>
      <c r="AE34" s="276">
        <v>3148.69</v>
      </c>
      <c r="AF34" s="276">
        <v>0</v>
      </c>
      <c r="AG34" s="213">
        <v>0</v>
      </c>
      <c r="AH34" s="239"/>
      <c r="AI34" s="273">
        <v>9</v>
      </c>
      <c r="AJ34" s="275">
        <v>224.55697863441469</v>
      </c>
      <c r="AK34" s="275">
        <v>9.3000000000000007</v>
      </c>
      <c r="AL34" s="275">
        <v>45.97</v>
      </c>
      <c r="AM34" s="275">
        <v>0</v>
      </c>
      <c r="AN34" s="275">
        <v>0</v>
      </c>
      <c r="AO34" s="275">
        <v>0</v>
      </c>
      <c r="AP34" s="275">
        <v>0</v>
      </c>
      <c r="AQ34" s="214">
        <v>0.74241800000000002</v>
      </c>
      <c r="AR34" s="417"/>
      <c r="AS34" s="352" t="s">
        <v>247</v>
      </c>
      <c r="AT34" s="353" t="s">
        <v>246</v>
      </c>
      <c r="AU34" s="353" t="s">
        <v>247</v>
      </c>
      <c r="AV34" s="353" t="s">
        <v>246</v>
      </c>
      <c r="AW34" s="354" t="s">
        <v>247</v>
      </c>
      <c r="AX34" s="353">
        <v>0.7</v>
      </c>
      <c r="AY34" s="353">
        <v>0.7</v>
      </c>
      <c r="AZ34" s="353">
        <v>0.7</v>
      </c>
      <c r="BA34" s="353">
        <v>0.7</v>
      </c>
      <c r="BB34" s="353">
        <v>0.7</v>
      </c>
      <c r="BC34" s="332">
        <v>0.75</v>
      </c>
      <c r="BD34" s="333">
        <v>0.93</v>
      </c>
      <c r="BE34" s="333">
        <v>0.75</v>
      </c>
      <c r="BF34" s="333">
        <v>0.93</v>
      </c>
      <c r="BG34" s="333">
        <v>0.75</v>
      </c>
      <c r="BH34" s="423" t="s">
        <v>347</v>
      </c>
      <c r="BI34" s="422"/>
      <c r="BJ34" s="334"/>
      <c r="BK34" s="422"/>
      <c r="BL34" s="434">
        <f t="shared" si="0"/>
        <v>0.74241800000000002</v>
      </c>
    </row>
    <row r="35" spans="2:64" s="344" customFormat="1" ht="20.05" customHeight="1" x14ac:dyDescent="0.6">
      <c r="B35" s="342" t="s">
        <v>268</v>
      </c>
      <c r="C35" s="298"/>
      <c r="D35" s="302">
        <v>0.8</v>
      </c>
      <c r="E35" s="341"/>
      <c r="G35" s="254" t="s">
        <v>75</v>
      </c>
      <c r="H35" s="259" t="s">
        <v>113</v>
      </c>
      <c r="I35" s="259" t="s">
        <v>136</v>
      </c>
      <c r="J35" s="255">
        <v>3.5999999999999996</v>
      </c>
      <c r="K35" s="255">
        <v>0.7</v>
      </c>
      <c r="L35" s="255">
        <v>0.7</v>
      </c>
      <c r="M35" s="257">
        <v>4213.6268183898919</v>
      </c>
      <c r="N35" s="257">
        <v>169.5</v>
      </c>
      <c r="O35" s="257">
        <v>0</v>
      </c>
      <c r="P35" s="257" t="s">
        <v>170</v>
      </c>
      <c r="Q35" s="257">
        <f>IF(P35="","",VLOOKUP(P35,'Listen und Kennwerte'!$B$4:$O$11,2,FALSE))</f>
        <v>28</v>
      </c>
      <c r="R35" s="257">
        <f>IF(P35="","",VLOOKUP(P35,'Listen und Kennwerte'!$B$4:$O$11,2,FALSE))</f>
        <v>28</v>
      </c>
      <c r="S35" s="260">
        <f>IF(P35="","",VLOOKUP(P35,'Listen und Kennwerte'!$B$4:$O$11,8,FALSE))</f>
        <v>12600</v>
      </c>
      <c r="T35" s="260">
        <f>IF(P35="","",VLOOKUP(P35,'Listen und Kennwerte'!$B$4:$O$11,9,FALSE))</f>
        <v>10500</v>
      </c>
      <c r="U35" s="260">
        <f>IF(P35="","",VLOOKUP(P35,'Listen und Kennwerte'!$B$4:$O$11,12,FALSE))</f>
        <v>540</v>
      </c>
      <c r="V35" s="255">
        <v>0.6</v>
      </c>
      <c r="W35" s="256">
        <v>1.3</v>
      </c>
      <c r="X35" s="230"/>
      <c r="Y35" s="264">
        <v>17.82</v>
      </c>
      <c r="Z35" s="263">
        <v>0.28999999999999998</v>
      </c>
      <c r="AA35" s="263">
        <v>1</v>
      </c>
      <c r="AB35" s="263">
        <v>1</v>
      </c>
      <c r="AC35" s="265" t="s">
        <v>348</v>
      </c>
      <c r="AD35" s="265">
        <v>8599.238404877331</v>
      </c>
      <c r="AE35" s="265">
        <v>2965.01</v>
      </c>
      <c r="AF35" s="265">
        <v>0</v>
      </c>
      <c r="AG35" s="208">
        <v>0.67</v>
      </c>
      <c r="AH35" s="239"/>
      <c r="AI35" s="262">
        <v>9</v>
      </c>
      <c r="AJ35" s="264">
        <v>207.42264136550904</v>
      </c>
      <c r="AK35" s="264">
        <v>9.3000000000000007</v>
      </c>
      <c r="AL35" s="264">
        <v>39.03</v>
      </c>
      <c r="AM35" s="264">
        <v>0</v>
      </c>
      <c r="AN35" s="264">
        <v>0</v>
      </c>
      <c r="AO35" s="264">
        <v>0</v>
      </c>
      <c r="AP35" s="264">
        <v>0</v>
      </c>
      <c r="AQ35" s="209">
        <v>0.73178799999999999</v>
      </c>
      <c r="AR35" s="417"/>
      <c r="AS35" s="349" t="s">
        <v>170</v>
      </c>
      <c r="AT35" s="350" t="s">
        <v>173</v>
      </c>
      <c r="AU35" s="350" t="s">
        <v>170</v>
      </c>
      <c r="AV35" s="350" t="s">
        <v>173</v>
      </c>
      <c r="AW35" s="351" t="s">
        <v>170</v>
      </c>
      <c r="AX35" s="350">
        <v>0.7</v>
      </c>
      <c r="AY35" s="350">
        <v>0.7</v>
      </c>
      <c r="AZ35" s="350">
        <v>0.7</v>
      </c>
      <c r="BA35" s="350">
        <v>0.7</v>
      </c>
      <c r="BB35" s="350">
        <v>0.7</v>
      </c>
      <c r="BC35" s="329">
        <v>0.74</v>
      </c>
      <c r="BD35" s="330">
        <v>0.95</v>
      </c>
      <c r="BE35" s="330">
        <v>0.74</v>
      </c>
      <c r="BF35" s="330">
        <v>0.95</v>
      </c>
      <c r="BG35" s="330">
        <v>0.74</v>
      </c>
      <c r="BH35" s="418" t="s">
        <v>347</v>
      </c>
      <c r="BI35" s="422"/>
      <c r="BJ35" s="331"/>
      <c r="BK35" s="422"/>
      <c r="BL35" s="434">
        <f t="shared" si="0"/>
        <v>0.73178799999999999</v>
      </c>
    </row>
    <row r="36" spans="2:64" s="344" customFormat="1" ht="20.05" customHeight="1" x14ac:dyDescent="0.6">
      <c r="B36" s="342"/>
      <c r="C36" s="298"/>
      <c r="D36" s="299"/>
      <c r="E36" s="341"/>
      <c r="G36" s="267" t="s">
        <v>76</v>
      </c>
      <c r="H36" s="270" t="s">
        <v>113</v>
      </c>
      <c r="I36" s="270" t="s">
        <v>136</v>
      </c>
      <c r="J36" s="241">
        <v>3.5999999999999996</v>
      </c>
      <c r="K36" s="241">
        <v>0.7</v>
      </c>
      <c r="L36" s="241">
        <v>0.7</v>
      </c>
      <c r="M36" s="268">
        <v>3845.6109629058847</v>
      </c>
      <c r="N36" s="268">
        <v>169.5</v>
      </c>
      <c r="O36" s="268">
        <v>0</v>
      </c>
      <c r="P36" s="268" t="s">
        <v>173</v>
      </c>
      <c r="Q36" s="268">
        <f>IF(P36="","",VLOOKUP(P36,'Listen und Kennwerte'!$B$4:$O$11,2,FALSE))</f>
        <v>24</v>
      </c>
      <c r="R36" s="268">
        <f>IF(P36="","",VLOOKUP(P36,'Listen und Kennwerte'!$B$4:$O$11,2,FALSE))</f>
        <v>24</v>
      </c>
      <c r="S36" s="271">
        <f>IF(P36="","",VLOOKUP(P36,'Listen und Kennwerte'!$B$4:$O$11,8,FALSE))</f>
        <v>11000</v>
      </c>
      <c r="T36" s="271">
        <f>IF(P36="","",VLOOKUP(P36,'Listen und Kennwerte'!$B$4:$O$11,9,FALSE))</f>
        <v>9100</v>
      </c>
      <c r="U36" s="271">
        <f>IF(P36="","",VLOOKUP(P36,'Listen und Kennwerte'!$B$4:$O$11,12,FALSE))</f>
        <v>540</v>
      </c>
      <c r="V36" s="241">
        <v>0.6</v>
      </c>
      <c r="W36" s="242">
        <v>1.3</v>
      </c>
      <c r="X36" s="230"/>
      <c r="Y36" s="275">
        <v>17.82</v>
      </c>
      <c r="Z36" s="274">
        <v>0.28999999999999998</v>
      </c>
      <c r="AA36" s="274">
        <v>1</v>
      </c>
      <c r="AB36" s="274">
        <v>1</v>
      </c>
      <c r="AC36" s="276" t="s">
        <v>348</v>
      </c>
      <c r="AD36" s="276">
        <v>7848.185638583439</v>
      </c>
      <c r="AE36" s="276">
        <v>2965.01</v>
      </c>
      <c r="AF36" s="276">
        <v>0</v>
      </c>
      <c r="AG36" s="213">
        <v>0.77</v>
      </c>
      <c r="AH36" s="239"/>
      <c r="AI36" s="273">
        <v>9</v>
      </c>
      <c r="AJ36" s="275">
        <v>204.11049866615295</v>
      </c>
      <c r="AK36" s="275">
        <v>9.3000000000000007</v>
      </c>
      <c r="AL36" s="275">
        <v>35.67</v>
      </c>
      <c r="AM36" s="275">
        <v>0</v>
      </c>
      <c r="AN36" s="275">
        <v>0</v>
      </c>
      <c r="AO36" s="275">
        <v>0</v>
      </c>
      <c r="AP36" s="275">
        <v>0</v>
      </c>
      <c r="AQ36" s="214">
        <v>0.83424399999999999</v>
      </c>
      <c r="AR36" s="417"/>
      <c r="AS36" s="352" t="s">
        <v>170</v>
      </c>
      <c r="AT36" s="353" t="s">
        <v>173</v>
      </c>
      <c r="AU36" s="353"/>
      <c r="AV36" s="353"/>
      <c r="AW36" s="354"/>
      <c r="AX36" s="353">
        <v>0.7</v>
      </c>
      <c r="AY36" s="353">
        <v>0.7</v>
      </c>
      <c r="AZ36" s="353"/>
      <c r="BA36" s="353"/>
      <c r="BB36" s="353"/>
      <c r="BC36" s="332">
        <v>0.66</v>
      </c>
      <c r="BD36" s="333">
        <v>0.84</v>
      </c>
      <c r="BE36" s="333"/>
      <c r="BF36" s="333"/>
      <c r="BG36" s="333"/>
      <c r="BH36" s="423" t="s">
        <v>346</v>
      </c>
      <c r="BI36" s="422"/>
      <c r="BJ36" s="334"/>
      <c r="BK36" s="422"/>
      <c r="BL36" s="434">
        <f t="shared" si="0"/>
        <v>0.83424399999999999</v>
      </c>
    </row>
    <row r="37" spans="2:64" s="344" customFormat="1" ht="20.05" customHeight="1" x14ac:dyDescent="0.6">
      <c r="B37" s="348" t="s">
        <v>372</v>
      </c>
      <c r="C37" s="298"/>
      <c r="D37" s="299"/>
      <c r="E37" s="341"/>
      <c r="G37" s="254" t="s">
        <v>77</v>
      </c>
      <c r="H37" s="259" t="s">
        <v>113</v>
      </c>
      <c r="I37" s="259" t="s">
        <v>136</v>
      </c>
      <c r="J37" s="255">
        <v>3.5999999999999996</v>
      </c>
      <c r="K37" s="255">
        <v>0.7</v>
      </c>
      <c r="L37" s="255">
        <v>0.7</v>
      </c>
      <c r="M37" s="257">
        <v>3812.6073223114017</v>
      </c>
      <c r="N37" s="257">
        <v>169.5</v>
      </c>
      <c r="O37" s="257">
        <v>0</v>
      </c>
      <c r="P37" s="257" t="s">
        <v>173</v>
      </c>
      <c r="Q37" s="257">
        <f>IF(P37="","",VLOOKUP(P37,'Listen und Kennwerte'!$B$4:$O$11,2,FALSE))</f>
        <v>24</v>
      </c>
      <c r="R37" s="257">
        <f>IF(P37="","",VLOOKUP(P37,'Listen und Kennwerte'!$B$4:$O$11,2,FALSE))</f>
        <v>24</v>
      </c>
      <c r="S37" s="260">
        <f>IF(P37="","",VLOOKUP(P37,'Listen und Kennwerte'!$B$4:$O$11,8,FALSE))</f>
        <v>11000</v>
      </c>
      <c r="T37" s="260">
        <f>IF(P37="","",VLOOKUP(P37,'Listen und Kennwerte'!$B$4:$O$11,9,FALSE))</f>
        <v>9100</v>
      </c>
      <c r="U37" s="260">
        <f>IF(P37="","",VLOOKUP(P37,'Listen und Kennwerte'!$B$4:$O$11,12,FALSE))</f>
        <v>540</v>
      </c>
      <c r="V37" s="255">
        <v>0.6</v>
      </c>
      <c r="W37" s="256">
        <v>1.3</v>
      </c>
      <c r="X37" s="230"/>
      <c r="Y37" s="264">
        <v>17.82</v>
      </c>
      <c r="Z37" s="263">
        <v>0.28999999999999998</v>
      </c>
      <c r="AA37" s="263">
        <v>1</v>
      </c>
      <c r="AB37" s="263">
        <v>1</v>
      </c>
      <c r="AC37" s="265" t="s">
        <v>348</v>
      </c>
      <c r="AD37" s="265">
        <v>7780.83127002327</v>
      </c>
      <c r="AE37" s="265">
        <v>2965.01</v>
      </c>
      <c r="AF37" s="265">
        <v>0</v>
      </c>
      <c r="AG37" s="208">
        <v>0.76</v>
      </c>
      <c r="AH37" s="239"/>
      <c r="AI37" s="262">
        <v>9</v>
      </c>
      <c r="AJ37" s="264">
        <v>203.81346590080261</v>
      </c>
      <c r="AK37" s="264">
        <v>9.3000000000000007</v>
      </c>
      <c r="AL37" s="264">
        <v>35.35</v>
      </c>
      <c r="AM37" s="264">
        <v>0</v>
      </c>
      <c r="AN37" s="264">
        <v>0</v>
      </c>
      <c r="AO37" s="264">
        <v>0</v>
      </c>
      <c r="AP37" s="264">
        <v>0</v>
      </c>
      <c r="AQ37" s="209">
        <v>0.82509600000000005</v>
      </c>
      <c r="AR37" s="417"/>
      <c r="AS37" s="349" t="s">
        <v>170</v>
      </c>
      <c r="AT37" s="350" t="s">
        <v>173</v>
      </c>
      <c r="AU37" s="350"/>
      <c r="AV37" s="350"/>
      <c r="AW37" s="351"/>
      <c r="AX37" s="350">
        <v>0.7</v>
      </c>
      <c r="AY37" s="350">
        <v>0.7</v>
      </c>
      <c r="AZ37" s="350"/>
      <c r="BA37" s="350"/>
      <c r="BB37" s="350"/>
      <c r="BC37" s="329">
        <v>0.65</v>
      </c>
      <c r="BD37" s="330">
        <v>0.83</v>
      </c>
      <c r="BE37" s="330"/>
      <c r="BF37" s="330"/>
      <c r="BG37" s="330"/>
      <c r="BH37" s="418" t="s">
        <v>346</v>
      </c>
      <c r="BI37" s="422"/>
      <c r="BJ37" s="331"/>
      <c r="BK37" s="422"/>
      <c r="BL37" s="434">
        <f t="shared" si="0"/>
        <v>0.82509600000000005</v>
      </c>
    </row>
    <row r="38" spans="2:64" s="344" customFormat="1" ht="20.05" customHeight="1" x14ac:dyDescent="0.6">
      <c r="B38" s="342" t="s">
        <v>373</v>
      </c>
      <c r="C38" s="680">
        <v>0</v>
      </c>
      <c r="D38" s="678" t="s">
        <v>374</v>
      </c>
      <c r="E38" s="679">
        <v>0</v>
      </c>
      <c r="G38" s="267" t="s">
        <v>78</v>
      </c>
      <c r="H38" s="270" t="s">
        <v>113</v>
      </c>
      <c r="I38" s="270" t="s">
        <v>136</v>
      </c>
      <c r="J38" s="241">
        <v>7.8</v>
      </c>
      <c r="K38" s="241">
        <v>0.55000000000000004</v>
      </c>
      <c r="L38" s="241">
        <v>0.55000000000000004</v>
      </c>
      <c r="M38" s="268">
        <v>3010.773841554384</v>
      </c>
      <c r="N38" s="268">
        <v>0</v>
      </c>
      <c r="O38" s="268">
        <v>0</v>
      </c>
      <c r="P38" s="268" t="s">
        <v>246</v>
      </c>
      <c r="Q38" s="268">
        <f>IF(P38="","",VLOOKUP(P38,'Listen und Kennwerte'!$B$4:$O$11,2,FALSE))</f>
        <v>28</v>
      </c>
      <c r="R38" s="268">
        <f>IF(P38="","",VLOOKUP(P38,'Listen und Kennwerte'!$B$4:$O$11,2,FALSE))</f>
        <v>28</v>
      </c>
      <c r="S38" s="271">
        <f>IF(P38="","",VLOOKUP(P38,'Listen und Kennwerte'!$B$4:$O$11,8,FALSE))</f>
        <v>12500</v>
      </c>
      <c r="T38" s="271">
        <f>IF(P38="","",VLOOKUP(P38,'Listen und Kennwerte'!$B$4:$O$11,9,FALSE))</f>
        <v>10400</v>
      </c>
      <c r="U38" s="271">
        <f>IF(P38="","",VLOOKUP(P38,'Listen und Kennwerte'!$B$4:$O$11,12,FALSE))</f>
        <v>540</v>
      </c>
      <c r="V38" s="241">
        <v>0.6</v>
      </c>
      <c r="W38" s="242">
        <v>1.3</v>
      </c>
      <c r="X38" s="230"/>
      <c r="Y38" s="275">
        <v>49.13</v>
      </c>
      <c r="Z38" s="274">
        <v>0.81</v>
      </c>
      <c r="AA38" s="274">
        <v>0.89</v>
      </c>
      <c r="AB38" s="274">
        <v>1</v>
      </c>
      <c r="AC38" s="276" t="s">
        <v>304</v>
      </c>
      <c r="AD38" s="276">
        <v>9952.9713770392846</v>
      </c>
      <c r="AE38" s="276">
        <v>0</v>
      </c>
      <c r="AF38" s="276">
        <v>0</v>
      </c>
      <c r="AG38" s="213">
        <v>0.87</v>
      </c>
      <c r="AH38" s="239"/>
      <c r="AI38" s="273">
        <v>19.5</v>
      </c>
      <c r="AJ38" s="275">
        <v>58.710089910310487</v>
      </c>
      <c r="AK38" s="275">
        <v>26</v>
      </c>
      <c r="AL38" s="275">
        <v>78.58</v>
      </c>
      <c r="AM38" s="275">
        <v>0</v>
      </c>
      <c r="AN38" s="275">
        <v>0</v>
      </c>
      <c r="AO38" s="275">
        <v>0</v>
      </c>
      <c r="AP38" s="275">
        <v>0</v>
      </c>
      <c r="AQ38" s="214">
        <v>0.81244799999999995</v>
      </c>
      <c r="AR38" s="417"/>
      <c r="AS38" s="352" t="s">
        <v>247</v>
      </c>
      <c r="AT38" s="353" t="s">
        <v>247</v>
      </c>
      <c r="AU38" s="353" t="s">
        <v>246</v>
      </c>
      <c r="AV38" s="353"/>
      <c r="AW38" s="354"/>
      <c r="AX38" s="353">
        <v>0.5</v>
      </c>
      <c r="AY38" s="353">
        <v>0.55000000000000004</v>
      </c>
      <c r="AZ38" s="353">
        <v>0.55000000000000004</v>
      </c>
      <c r="BA38" s="353"/>
      <c r="BB38" s="353"/>
      <c r="BC38" s="332">
        <v>0.98</v>
      </c>
      <c r="BD38" s="333">
        <v>0.77</v>
      </c>
      <c r="BE38" s="333">
        <v>0.87</v>
      </c>
      <c r="BF38" s="333"/>
      <c r="BG38" s="333"/>
      <c r="BH38" s="423" t="s">
        <v>346</v>
      </c>
      <c r="BI38" s="422"/>
      <c r="BJ38" s="334"/>
      <c r="BK38" s="422"/>
      <c r="BL38" s="434">
        <f t="shared" si="0"/>
        <v>0.87</v>
      </c>
    </row>
    <row r="39" spans="2:64" s="344" customFormat="1" ht="20.05" customHeight="1" x14ac:dyDescent="0.6">
      <c r="B39" s="342"/>
      <c r="C39" s="298"/>
      <c r="D39" s="299"/>
      <c r="E39" s="341"/>
      <c r="G39" s="254" t="s">
        <v>79</v>
      </c>
      <c r="H39" s="259" t="s">
        <v>113</v>
      </c>
      <c r="I39" s="259" t="s">
        <v>136</v>
      </c>
      <c r="J39" s="255">
        <v>7.8</v>
      </c>
      <c r="K39" s="255">
        <v>0.6</v>
      </c>
      <c r="L39" s="255">
        <v>0.6</v>
      </c>
      <c r="M39" s="257">
        <v>3859.5216835801393</v>
      </c>
      <c r="N39" s="257">
        <v>0</v>
      </c>
      <c r="O39" s="257">
        <v>0</v>
      </c>
      <c r="P39" s="257" t="s">
        <v>247</v>
      </c>
      <c r="Q39" s="257">
        <f>IF(P39="","",VLOOKUP(P39,'Listen und Kennwerte'!$B$4:$O$11,2,FALSE))</f>
        <v>32</v>
      </c>
      <c r="R39" s="257">
        <f>IF(P39="","",VLOOKUP(P39,'Listen und Kennwerte'!$B$4:$O$11,2,FALSE))</f>
        <v>32</v>
      </c>
      <c r="S39" s="260">
        <f>IF(P39="","",VLOOKUP(P39,'Listen und Kennwerte'!$B$4:$O$11,8,FALSE))</f>
        <v>13700</v>
      </c>
      <c r="T39" s="260">
        <f>IF(P39="","",VLOOKUP(P39,'Listen und Kennwerte'!$B$4:$O$11,9,FALSE))</f>
        <v>11100</v>
      </c>
      <c r="U39" s="260">
        <f>IF(P39="","",VLOOKUP(P39,'Listen und Kennwerte'!$B$4:$O$11,12,FALSE))</f>
        <v>566.66666666666663</v>
      </c>
      <c r="V39" s="255">
        <v>0.6</v>
      </c>
      <c r="W39" s="256">
        <v>1.3</v>
      </c>
      <c r="X39" s="230"/>
      <c r="Y39" s="264">
        <v>45.03</v>
      </c>
      <c r="Z39" s="263">
        <v>0.77</v>
      </c>
      <c r="AA39" s="263">
        <v>0.91</v>
      </c>
      <c r="AB39" s="263">
        <v>1</v>
      </c>
      <c r="AC39" s="265" t="s">
        <v>304</v>
      </c>
      <c r="AD39" s="265">
        <v>10720.893565500388</v>
      </c>
      <c r="AE39" s="265">
        <v>0</v>
      </c>
      <c r="AF39" s="265">
        <v>0</v>
      </c>
      <c r="AG39" s="208">
        <v>0.8</v>
      </c>
      <c r="AH39" s="239"/>
      <c r="AI39" s="262">
        <v>19.5</v>
      </c>
      <c r="AJ39" s="264">
        <v>75.260672829812719</v>
      </c>
      <c r="AK39" s="264">
        <v>24.7</v>
      </c>
      <c r="AL39" s="264">
        <v>95.14</v>
      </c>
      <c r="AM39" s="264">
        <v>0</v>
      </c>
      <c r="AN39" s="264">
        <v>0</v>
      </c>
      <c r="AO39" s="264">
        <v>0</v>
      </c>
      <c r="AP39" s="264">
        <v>0</v>
      </c>
      <c r="AQ39" s="209">
        <v>0.70586000000000004</v>
      </c>
      <c r="AR39" s="417"/>
      <c r="AS39" s="349" t="s">
        <v>247</v>
      </c>
      <c r="AT39" s="350" t="s">
        <v>247</v>
      </c>
      <c r="AU39" s="350"/>
      <c r="AV39" s="350"/>
      <c r="AW39" s="351"/>
      <c r="AX39" s="350">
        <v>0.5</v>
      </c>
      <c r="AY39" s="350">
        <v>0.6</v>
      </c>
      <c r="AZ39" s="350"/>
      <c r="BA39" s="350"/>
      <c r="BB39" s="350"/>
      <c r="BC39" s="329">
        <v>1.53</v>
      </c>
      <c r="BD39" s="330">
        <v>0.8</v>
      </c>
      <c r="BE39" s="330"/>
      <c r="BF39" s="330"/>
      <c r="BG39" s="330"/>
      <c r="BH39" s="418" t="s">
        <v>346</v>
      </c>
      <c r="BI39" s="422"/>
      <c r="BJ39" s="331"/>
      <c r="BK39" s="422"/>
      <c r="BL39" s="434">
        <f t="shared" si="0"/>
        <v>0.8</v>
      </c>
    </row>
    <row r="40" spans="2:64" s="344" customFormat="1" ht="20.05" customHeight="1" x14ac:dyDescent="0.6">
      <c r="B40" s="348" t="s">
        <v>292</v>
      </c>
      <c r="C40" s="298"/>
      <c r="D40" s="299"/>
      <c r="E40" s="341"/>
      <c r="G40" s="267" t="s">
        <v>80</v>
      </c>
      <c r="H40" s="270" t="s">
        <v>113</v>
      </c>
      <c r="I40" s="270" t="s">
        <v>136</v>
      </c>
      <c r="J40" s="241">
        <v>7.8</v>
      </c>
      <c r="K40" s="241">
        <v>0.6</v>
      </c>
      <c r="L40" s="241">
        <v>0.6</v>
      </c>
      <c r="M40" s="268">
        <v>3774.5600198380762</v>
      </c>
      <c r="N40" s="268">
        <v>0</v>
      </c>
      <c r="O40" s="268">
        <v>0</v>
      </c>
      <c r="P40" s="268" t="s">
        <v>246</v>
      </c>
      <c r="Q40" s="268">
        <f>IF(P40="","",VLOOKUP(P40,'Listen und Kennwerte'!$B$4:$O$11,2,FALSE))</f>
        <v>28</v>
      </c>
      <c r="R40" s="268">
        <f>IF(P40="","",VLOOKUP(P40,'Listen und Kennwerte'!$B$4:$O$11,2,FALSE))</f>
        <v>28</v>
      </c>
      <c r="S40" s="271">
        <f>IF(P40="","",VLOOKUP(P40,'Listen und Kennwerte'!$B$4:$O$11,8,FALSE))</f>
        <v>12500</v>
      </c>
      <c r="T40" s="271">
        <f>IF(P40="","",VLOOKUP(P40,'Listen und Kennwerte'!$B$4:$O$11,9,FALSE))</f>
        <v>10400</v>
      </c>
      <c r="U40" s="271">
        <f>IF(P40="","",VLOOKUP(P40,'Listen und Kennwerte'!$B$4:$O$11,12,FALSE))</f>
        <v>540</v>
      </c>
      <c r="V40" s="241">
        <v>0.6</v>
      </c>
      <c r="W40" s="242">
        <v>1.3</v>
      </c>
      <c r="X40" s="230"/>
      <c r="Y40" s="275">
        <v>45.03</v>
      </c>
      <c r="Z40" s="274">
        <v>0.74</v>
      </c>
      <c r="AA40" s="274">
        <v>0.92</v>
      </c>
      <c r="AB40" s="274">
        <v>1</v>
      </c>
      <c r="AC40" s="276" t="s">
        <v>304</v>
      </c>
      <c r="AD40" s="276">
        <v>10484.888943994656</v>
      </c>
      <c r="AE40" s="276">
        <v>0</v>
      </c>
      <c r="AF40" s="276">
        <v>0</v>
      </c>
      <c r="AG40" s="213">
        <v>0.88</v>
      </c>
      <c r="AH40" s="239"/>
      <c r="AI40" s="273">
        <v>19.5</v>
      </c>
      <c r="AJ40" s="275">
        <v>73.603920386842489</v>
      </c>
      <c r="AK40" s="275">
        <v>25.1</v>
      </c>
      <c r="AL40" s="275">
        <v>94.84</v>
      </c>
      <c r="AM40" s="275">
        <v>0</v>
      </c>
      <c r="AN40" s="275">
        <v>0</v>
      </c>
      <c r="AO40" s="275">
        <v>0</v>
      </c>
      <c r="AP40" s="275">
        <v>0</v>
      </c>
      <c r="AQ40" s="214">
        <v>0.86211300000000002</v>
      </c>
      <c r="AR40" s="417"/>
      <c r="AS40" s="352" t="s">
        <v>247</v>
      </c>
      <c r="AT40" s="353" t="s">
        <v>247</v>
      </c>
      <c r="AU40" s="353" t="s">
        <v>246</v>
      </c>
      <c r="AV40" s="353"/>
      <c r="AW40" s="354"/>
      <c r="AX40" s="353">
        <v>0.5</v>
      </c>
      <c r="AY40" s="353">
        <v>0.6</v>
      </c>
      <c r="AZ40" s="353">
        <v>0.6</v>
      </c>
      <c r="BA40" s="353"/>
      <c r="BB40" s="353"/>
      <c r="BC40" s="332">
        <v>1.47</v>
      </c>
      <c r="BD40" s="333">
        <v>0.78</v>
      </c>
      <c r="BE40" s="333">
        <v>0.88</v>
      </c>
      <c r="BF40" s="333"/>
      <c r="BG40" s="333"/>
      <c r="BH40" s="423" t="s">
        <v>346</v>
      </c>
      <c r="BI40" s="422"/>
      <c r="BJ40" s="334"/>
      <c r="BK40" s="422"/>
      <c r="BL40" s="434">
        <f t="shared" si="0"/>
        <v>0.88</v>
      </c>
    </row>
    <row r="41" spans="2:64" s="344" customFormat="1" ht="20.05" customHeight="1" x14ac:dyDescent="0.6">
      <c r="B41" s="342"/>
      <c r="C41" s="298"/>
      <c r="D41" s="299"/>
      <c r="E41" s="341"/>
      <c r="G41" s="254" t="s">
        <v>81</v>
      </c>
      <c r="H41" s="259" t="s">
        <v>113</v>
      </c>
      <c r="I41" s="259" t="s">
        <v>136</v>
      </c>
      <c r="J41" s="255">
        <v>7.8</v>
      </c>
      <c r="K41" s="255">
        <v>0.6</v>
      </c>
      <c r="L41" s="255">
        <v>0.6</v>
      </c>
      <c r="M41" s="257">
        <v>3762.0349044816298</v>
      </c>
      <c r="N41" s="257">
        <v>0</v>
      </c>
      <c r="O41" s="257">
        <v>0</v>
      </c>
      <c r="P41" s="257" t="s">
        <v>246</v>
      </c>
      <c r="Q41" s="257">
        <f>IF(P41="","",VLOOKUP(P41,'Listen und Kennwerte'!$B$4:$O$11,2,FALSE))</f>
        <v>28</v>
      </c>
      <c r="R41" s="257">
        <f>IF(P41="","",VLOOKUP(P41,'Listen und Kennwerte'!$B$4:$O$11,2,FALSE))</f>
        <v>28</v>
      </c>
      <c r="S41" s="260">
        <f>IF(P41="","",VLOOKUP(P41,'Listen und Kennwerte'!$B$4:$O$11,8,FALSE))</f>
        <v>12500</v>
      </c>
      <c r="T41" s="260">
        <f>IF(P41="","",VLOOKUP(P41,'Listen und Kennwerte'!$B$4:$O$11,9,FALSE))</f>
        <v>10400</v>
      </c>
      <c r="U41" s="260">
        <f>IF(P41="","",VLOOKUP(P41,'Listen und Kennwerte'!$B$4:$O$11,12,FALSE))</f>
        <v>540</v>
      </c>
      <c r="V41" s="255">
        <v>0.6</v>
      </c>
      <c r="W41" s="256">
        <v>1.3</v>
      </c>
      <c r="X41" s="230"/>
      <c r="Y41" s="264">
        <v>45.03</v>
      </c>
      <c r="Z41" s="263">
        <v>0.74</v>
      </c>
      <c r="AA41" s="263">
        <v>0.92</v>
      </c>
      <c r="AB41" s="263">
        <v>1</v>
      </c>
      <c r="AC41" s="265" t="s">
        <v>304</v>
      </c>
      <c r="AD41" s="265">
        <v>10450.096956893416</v>
      </c>
      <c r="AE41" s="265">
        <v>0</v>
      </c>
      <c r="AF41" s="265">
        <v>0</v>
      </c>
      <c r="AG41" s="208">
        <v>0.88</v>
      </c>
      <c r="AH41" s="239"/>
      <c r="AI41" s="262">
        <v>19.5</v>
      </c>
      <c r="AJ41" s="264">
        <v>73.359680637391776</v>
      </c>
      <c r="AK41" s="264">
        <v>25.1</v>
      </c>
      <c r="AL41" s="264">
        <v>94.44</v>
      </c>
      <c r="AM41" s="264">
        <v>0</v>
      </c>
      <c r="AN41" s="264">
        <v>0</v>
      </c>
      <c r="AO41" s="264">
        <v>0</v>
      </c>
      <c r="AP41" s="264">
        <v>0</v>
      </c>
      <c r="AQ41" s="209">
        <v>0.85689199999999999</v>
      </c>
      <c r="AR41" s="417"/>
      <c r="AS41" s="349" t="s">
        <v>247</v>
      </c>
      <c r="AT41" s="350" t="s">
        <v>247</v>
      </c>
      <c r="AU41" s="350" t="s">
        <v>246</v>
      </c>
      <c r="AV41" s="350"/>
      <c r="AW41" s="351"/>
      <c r="AX41" s="350">
        <v>0.5</v>
      </c>
      <c r="AY41" s="350">
        <v>0.6</v>
      </c>
      <c r="AZ41" s="350">
        <v>0.6</v>
      </c>
      <c r="BA41" s="350"/>
      <c r="BB41" s="350"/>
      <c r="BC41" s="329">
        <v>1.46</v>
      </c>
      <c r="BD41" s="330">
        <v>0.78</v>
      </c>
      <c r="BE41" s="330">
        <v>0.88</v>
      </c>
      <c r="BF41" s="330"/>
      <c r="BG41" s="330"/>
      <c r="BH41" s="418" t="s">
        <v>346</v>
      </c>
      <c r="BI41" s="422"/>
      <c r="BJ41" s="331"/>
      <c r="BK41" s="422"/>
      <c r="BL41" s="434">
        <f t="shared" si="0"/>
        <v>0.88</v>
      </c>
    </row>
    <row r="42" spans="2:64" s="344" customFormat="1" ht="20.05" customHeight="1" x14ac:dyDescent="0.6">
      <c r="B42" s="342"/>
      <c r="C42" s="298"/>
      <c r="D42" s="299"/>
      <c r="E42" s="341"/>
      <c r="G42" s="267" t="s">
        <v>82</v>
      </c>
      <c r="H42" s="270" t="s">
        <v>113</v>
      </c>
      <c r="I42" s="270" t="s">
        <v>136</v>
      </c>
      <c r="J42" s="241">
        <v>7.8</v>
      </c>
      <c r="K42" s="241">
        <v>0.6</v>
      </c>
      <c r="L42" s="241">
        <v>0.6</v>
      </c>
      <c r="M42" s="268">
        <v>3731.967587129338</v>
      </c>
      <c r="N42" s="268">
        <v>0</v>
      </c>
      <c r="O42" s="268">
        <v>0</v>
      </c>
      <c r="P42" s="268" t="s">
        <v>246</v>
      </c>
      <c r="Q42" s="268">
        <f>IF(P42="","",VLOOKUP(P42,'Listen und Kennwerte'!$B$4:$O$11,2,FALSE))</f>
        <v>28</v>
      </c>
      <c r="R42" s="268">
        <f>IF(P42="","",VLOOKUP(P42,'Listen und Kennwerte'!$B$4:$O$11,2,FALSE))</f>
        <v>28</v>
      </c>
      <c r="S42" s="271">
        <f>IF(P42="","",VLOOKUP(P42,'Listen und Kennwerte'!$B$4:$O$11,8,FALSE))</f>
        <v>12500</v>
      </c>
      <c r="T42" s="271">
        <f>IF(P42="","",VLOOKUP(P42,'Listen und Kennwerte'!$B$4:$O$11,9,FALSE))</f>
        <v>10400</v>
      </c>
      <c r="U42" s="271">
        <f>IF(P42="","",VLOOKUP(P42,'Listen und Kennwerte'!$B$4:$O$11,12,FALSE))</f>
        <v>540</v>
      </c>
      <c r="V42" s="241">
        <v>0.6</v>
      </c>
      <c r="W42" s="242">
        <v>1.3</v>
      </c>
      <c r="X42" s="230"/>
      <c r="Y42" s="275">
        <v>45.03</v>
      </c>
      <c r="Z42" s="274">
        <v>0.74</v>
      </c>
      <c r="AA42" s="274">
        <v>0.92</v>
      </c>
      <c r="AB42" s="274">
        <v>1</v>
      </c>
      <c r="AC42" s="276" t="s">
        <v>304</v>
      </c>
      <c r="AD42" s="276">
        <v>10366.576630914828</v>
      </c>
      <c r="AE42" s="276">
        <v>0</v>
      </c>
      <c r="AF42" s="276">
        <v>0</v>
      </c>
      <c r="AG42" s="213">
        <v>0.87</v>
      </c>
      <c r="AH42" s="239"/>
      <c r="AI42" s="273">
        <v>19.5</v>
      </c>
      <c r="AJ42" s="275">
        <v>72.773367949022088</v>
      </c>
      <c r="AK42" s="275">
        <v>25</v>
      </c>
      <c r="AL42" s="275">
        <v>93.47</v>
      </c>
      <c r="AM42" s="275">
        <v>0</v>
      </c>
      <c r="AN42" s="275">
        <v>0</v>
      </c>
      <c r="AO42" s="275">
        <v>0</v>
      </c>
      <c r="AP42" s="275">
        <v>0</v>
      </c>
      <c r="AQ42" s="214">
        <v>0.84439699999999995</v>
      </c>
      <c r="AR42" s="417"/>
      <c r="AS42" s="352" t="s">
        <v>247</v>
      </c>
      <c r="AT42" s="353" t="s">
        <v>247</v>
      </c>
      <c r="AU42" s="353" t="s">
        <v>246</v>
      </c>
      <c r="AV42" s="353"/>
      <c r="AW42" s="354"/>
      <c r="AX42" s="353">
        <v>0.5</v>
      </c>
      <c r="AY42" s="353">
        <v>0.6</v>
      </c>
      <c r="AZ42" s="353">
        <v>0.6</v>
      </c>
      <c r="BA42" s="353"/>
      <c r="BB42" s="353"/>
      <c r="BC42" s="332">
        <v>1.44</v>
      </c>
      <c r="BD42" s="333">
        <v>0.77</v>
      </c>
      <c r="BE42" s="333">
        <v>0.87</v>
      </c>
      <c r="BF42" s="333"/>
      <c r="BG42" s="333"/>
      <c r="BH42" s="423" t="s">
        <v>346</v>
      </c>
      <c r="BI42" s="422"/>
      <c r="BJ42" s="334"/>
      <c r="BK42" s="422"/>
      <c r="BL42" s="434">
        <f t="shared" si="0"/>
        <v>0.87</v>
      </c>
    </row>
    <row r="43" spans="2:64" s="344" customFormat="1" ht="20.05" customHeight="1" x14ac:dyDescent="0.6">
      <c r="B43" s="343"/>
      <c r="C43" s="305"/>
      <c r="D43" s="306"/>
      <c r="E43" s="356"/>
      <c r="G43" s="254" t="s">
        <v>83</v>
      </c>
      <c r="H43" s="259" t="s">
        <v>113</v>
      </c>
      <c r="I43" s="259" t="s">
        <v>136</v>
      </c>
      <c r="J43" s="255">
        <v>3.5999999999999996</v>
      </c>
      <c r="K43" s="255">
        <v>0.65</v>
      </c>
      <c r="L43" s="255">
        <v>0.65</v>
      </c>
      <c r="M43" s="257">
        <v>3696.6154014587401</v>
      </c>
      <c r="N43" s="257">
        <v>139.5</v>
      </c>
      <c r="O43" s="257">
        <v>0</v>
      </c>
      <c r="P43" s="257" t="s">
        <v>247</v>
      </c>
      <c r="Q43" s="257">
        <f>IF(P43="","",VLOOKUP(P43,'Listen und Kennwerte'!$B$4:$O$11,2,FALSE))</f>
        <v>32</v>
      </c>
      <c r="R43" s="257">
        <f>IF(P43="","",VLOOKUP(P43,'Listen und Kennwerte'!$B$4:$O$11,2,FALSE))</f>
        <v>32</v>
      </c>
      <c r="S43" s="260">
        <f>IF(P43="","",VLOOKUP(P43,'Listen und Kennwerte'!$B$4:$O$11,8,FALSE))</f>
        <v>13700</v>
      </c>
      <c r="T43" s="260">
        <f>IF(P43="","",VLOOKUP(P43,'Listen und Kennwerte'!$B$4:$O$11,9,FALSE))</f>
        <v>11100</v>
      </c>
      <c r="U43" s="260">
        <f>IF(P43="","",VLOOKUP(P43,'Listen und Kennwerte'!$B$4:$O$11,12,FALSE))</f>
        <v>566.66666666666663</v>
      </c>
      <c r="V43" s="255">
        <v>0.6</v>
      </c>
      <c r="W43" s="256">
        <v>1.3</v>
      </c>
      <c r="X43" s="230"/>
      <c r="Y43" s="264">
        <v>19.190000000000001</v>
      </c>
      <c r="Z43" s="263">
        <v>0.33</v>
      </c>
      <c r="AA43" s="263">
        <v>1</v>
      </c>
      <c r="AB43" s="263">
        <v>1</v>
      </c>
      <c r="AC43" s="265" t="s">
        <v>304</v>
      </c>
      <c r="AD43" s="265">
        <v>8749.3855655828156</v>
      </c>
      <c r="AE43" s="265">
        <v>3047.79</v>
      </c>
      <c r="AF43" s="265">
        <v>0</v>
      </c>
      <c r="AG43" s="208">
        <v>0.8</v>
      </c>
      <c r="AH43" s="239"/>
      <c r="AI43" s="262">
        <v>9</v>
      </c>
      <c r="AJ43" s="264">
        <v>172.76953861312865</v>
      </c>
      <c r="AK43" s="264">
        <v>9.3000000000000007</v>
      </c>
      <c r="AL43" s="264">
        <v>34.33</v>
      </c>
      <c r="AM43" s="264">
        <v>0</v>
      </c>
      <c r="AN43" s="264">
        <v>0</v>
      </c>
      <c r="AO43" s="264">
        <v>0</v>
      </c>
      <c r="AP43" s="264">
        <v>0</v>
      </c>
      <c r="AQ43" s="209">
        <v>0.61470199999999997</v>
      </c>
      <c r="AR43" s="417"/>
      <c r="AS43" s="349" t="s">
        <v>247</v>
      </c>
      <c r="AT43" s="350" t="s">
        <v>247</v>
      </c>
      <c r="AU43" s="350" t="s">
        <v>247</v>
      </c>
      <c r="AV43" s="350"/>
      <c r="AW43" s="351"/>
      <c r="AX43" s="350">
        <v>0.5</v>
      </c>
      <c r="AY43" s="350">
        <v>0.6</v>
      </c>
      <c r="AZ43" s="350">
        <v>0.65</v>
      </c>
      <c r="BA43" s="350"/>
      <c r="BB43" s="350"/>
      <c r="BC43" s="329">
        <v>1.63</v>
      </c>
      <c r="BD43" s="330">
        <v>0.96</v>
      </c>
      <c r="BE43" s="330">
        <v>0.8</v>
      </c>
      <c r="BF43" s="330"/>
      <c r="BG43" s="330"/>
      <c r="BH43" s="418" t="s">
        <v>346</v>
      </c>
      <c r="BI43" s="422"/>
      <c r="BJ43" s="331"/>
      <c r="BK43" s="422"/>
      <c r="BL43" s="434">
        <f t="shared" si="0"/>
        <v>0.8</v>
      </c>
    </row>
    <row r="44" spans="2:64" s="344" customFormat="1" ht="20.05" customHeight="1" x14ac:dyDescent="0.6">
      <c r="G44" s="267" t="s">
        <v>84</v>
      </c>
      <c r="H44" s="270" t="s">
        <v>113</v>
      </c>
      <c r="I44" s="270" t="s">
        <v>136</v>
      </c>
      <c r="J44" s="241">
        <v>11.2</v>
      </c>
      <c r="K44" s="241">
        <v>0.7</v>
      </c>
      <c r="L44" s="241">
        <v>0.7</v>
      </c>
      <c r="M44" s="268">
        <v>4081.5297136929789</v>
      </c>
      <c r="N44" s="268">
        <v>0</v>
      </c>
      <c r="O44" s="268">
        <v>0</v>
      </c>
      <c r="P44" s="268" t="s">
        <v>173</v>
      </c>
      <c r="Q44" s="268">
        <f>IF(P44="","",VLOOKUP(P44,'Listen und Kennwerte'!$B$4:$O$11,2,FALSE))</f>
        <v>24</v>
      </c>
      <c r="R44" s="268">
        <f>IF(P44="","",VLOOKUP(P44,'Listen und Kennwerte'!$B$4:$O$11,2,FALSE))</f>
        <v>24</v>
      </c>
      <c r="S44" s="271">
        <f>IF(P44="","",VLOOKUP(P44,'Listen und Kennwerte'!$B$4:$O$11,8,FALSE))</f>
        <v>11000</v>
      </c>
      <c r="T44" s="271">
        <f>IF(P44="","",VLOOKUP(P44,'Listen und Kennwerte'!$B$4:$O$11,9,FALSE))</f>
        <v>9100</v>
      </c>
      <c r="U44" s="271">
        <f>IF(P44="","",VLOOKUP(P44,'Listen und Kennwerte'!$B$4:$O$11,12,FALSE))</f>
        <v>540</v>
      </c>
      <c r="V44" s="241">
        <v>0.6</v>
      </c>
      <c r="W44" s="242">
        <v>1.3</v>
      </c>
      <c r="X44" s="230"/>
      <c r="Y44" s="275">
        <v>55.43</v>
      </c>
      <c r="Z44" s="274">
        <v>0.91</v>
      </c>
      <c r="AA44" s="274">
        <v>0.84</v>
      </c>
      <c r="AB44" s="274">
        <v>1</v>
      </c>
      <c r="AC44" s="276" t="s">
        <v>304</v>
      </c>
      <c r="AD44" s="276">
        <v>8329.6524769244479</v>
      </c>
      <c r="AE44" s="276">
        <v>0</v>
      </c>
      <c r="AF44" s="276">
        <v>0</v>
      </c>
      <c r="AG44" s="213">
        <v>0.9</v>
      </c>
      <c r="AH44" s="239"/>
      <c r="AI44" s="273">
        <v>28</v>
      </c>
      <c r="AJ44" s="275">
        <v>114.28283198340341</v>
      </c>
      <c r="AK44" s="275">
        <v>40.299999999999997</v>
      </c>
      <c r="AL44" s="275">
        <v>164.64</v>
      </c>
      <c r="AM44" s="275">
        <v>0</v>
      </c>
      <c r="AN44" s="275">
        <v>0</v>
      </c>
      <c r="AO44" s="275">
        <v>0</v>
      </c>
      <c r="AP44" s="275">
        <v>0</v>
      </c>
      <c r="AQ44" s="214">
        <v>0.82547800000000005</v>
      </c>
      <c r="AR44" s="417"/>
      <c r="AS44" s="352" t="s">
        <v>170</v>
      </c>
      <c r="AT44" s="353" t="s">
        <v>173</v>
      </c>
      <c r="AU44" s="353"/>
      <c r="AV44" s="353"/>
      <c r="AW44" s="354"/>
      <c r="AX44" s="353">
        <v>0.7</v>
      </c>
      <c r="AY44" s="353">
        <v>0.7</v>
      </c>
      <c r="AZ44" s="353"/>
      <c r="BA44" s="353"/>
      <c r="BB44" s="353"/>
      <c r="BC44" s="332">
        <v>0.78</v>
      </c>
      <c r="BD44" s="333">
        <v>0.9</v>
      </c>
      <c r="BE44" s="333"/>
      <c r="BF44" s="333"/>
      <c r="BG44" s="333"/>
      <c r="BH44" s="423" t="s">
        <v>346</v>
      </c>
      <c r="BI44" s="422"/>
      <c r="BJ44" s="334"/>
      <c r="BK44" s="422"/>
      <c r="BL44" s="434">
        <f t="shared" si="0"/>
        <v>0.9</v>
      </c>
    </row>
    <row r="45" spans="2:64" s="344" customFormat="1" ht="20.05" customHeight="1" x14ac:dyDescent="0.6">
      <c r="G45" s="254" t="s">
        <v>85</v>
      </c>
      <c r="H45" s="259" t="s">
        <v>113</v>
      </c>
      <c r="I45" s="259" t="s">
        <v>136</v>
      </c>
      <c r="J45" s="255">
        <v>3.5999999999999996</v>
      </c>
      <c r="K45" s="255">
        <v>0.6</v>
      </c>
      <c r="L45" s="255">
        <v>0.6</v>
      </c>
      <c r="M45" s="257">
        <v>4081.5297136929789</v>
      </c>
      <c r="N45" s="257">
        <v>0</v>
      </c>
      <c r="O45" s="257">
        <v>0</v>
      </c>
      <c r="P45" s="257" t="s">
        <v>246</v>
      </c>
      <c r="Q45" s="257">
        <f>IF(P45="","",VLOOKUP(P45,'Listen und Kennwerte'!$B$4:$O$11,2,FALSE))</f>
        <v>28</v>
      </c>
      <c r="R45" s="257">
        <f>IF(P45="","",VLOOKUP(P45,'Listen und Kennwerte'!$B$4:$O$11,2,FALSE))</f>
        <v>28</v>
      </c>
      <c r="S45" s="260">
        <f>IF(P45="","",VLOOKUP(P45,'Listen und Kennwerte'!$B$4:$O$11,8,FALSE))</f>
        <v>12500</v>
      </c>
      <c r="T45" s="260">
        <f>IF(P45="","",VLOOKUP(P45,'Listen und Kennwerte'!$B$4:$O$11,9,FALSE))</f>
        <v>10400</v>
      </c>
      <c r="U45" s="260">
        <f>IF(P45="","",VLOOKUP(P45,'Listen und Kennwerte'!$B$4:$O$11,12,FALSE))</f>
        <v>540</v>
      </c>
      <c r="V45" s="255">
        <v>0.6</v>
      </c>
      <c r="W45" s="256">
        <v>1.3</v>
      </c>
      <c r="X45" s="230"/>
      <c r="Y45" s="264">
        <v>20.78</v>
      </c>
      <c r="Z45" s="263">
        <v>0.34</v>
      </c>
      <c r="AA45" s="263">
        <v>1</v>
      </c>
      <c r="AB45" s="263">
        <v>1</v>
      </c>
      <c r="AC45" s="265" t="s">
        <v>304</v>
      </c>
      <c r="AD45" s="265">
        <v>11337.582538036053</v>
      </c>
      <c r="AE45" s="265">
        <v>0</v>
      </c>
      <c r="AF45" s="265">
        <v>0</v>
      </c>
      <c r="AG45" s="208">
        <v>0.88</v>
      </c>
      <c r="AH45" s="239"/>
      <c r="AI45" s="262">
        <v>9</v>
      </c>
      <c r="AJ45" s="264">
        <v>36.733767423236806</v>
      </c>
      <c r="AK45" s="264">
        <v>9.5</v>
      </c>
      <c r="AL45" s="264">
        <v>38.74</v>
      </c>
      <c r="AM45" s="264">
        <v>0</v>
      </c>
      <c r="AN45" s="264">
        <v>0</v>
      </c>
      <c r="AO45" s="264">
        <v>0</v>
      </c>
      <c r="AP45" s="264">
        <v>0</v>
      </c>
      <c r="AQ45" s="209">
        <v>0.85294800000000004</v>
      </c>
      <c r="AR45" s="417"/>
      <c r="AS45" s="349" t="s">
        <v>247</v>
      </c>
      <c r="AT45" s="350" t="s">
        <v>247</v>
      </c>
      <c r="AU45" s="350" t="s">
        <v>246</v>
      </c>
      <c r="AV45" s="350"/>
      <c r="AW45" s="351"/>
      <c r="AX45" s="350">
        <v>0.5</v>
      </c>
      <c r="AY45" s="350">
        <v>0.6</v>
      </c>
      <c r="AZ45" s="350">
        <v>0.6</v>
      </c>
      <c r="BA45" s="350"/>
      <c r="BB45" s="350"/>
      <c r="BC45" s="329">
        <v>1.37</v>
      </c>
      <c r="BD45" s="330">
        <v>0.78</v>
      </c>
      <c r="BE45" s="330">
        <v>0.88</v>
      </c>
      <c r="BF45" s="330"/>
      <c r="BG45" s="330"/>
      <c r="BH45" s="418" t="s">
        <v>346</v>
      </c>
      <c r="BI45" s="422"/>
      <c r="BJ45" s="331"/>
      <c r="BK45" s="422"/>
      <c r="BL45" s="434">
        <f t="shared" si="0"/>
        <v>0.88</v>
      </c>
    </row>
    <row r="46" spans="2:64" s="344" customFormat="1" ht="20.05" customHeight="1" x14ac:dyDescent="0.6">
      <c r="G46" s="267" t="s">
        <v>86</v>
      </c>
      <c r="H46" s="270" t="s">
        <v>113</v>
      </c>
      <c r="I46" s="270" t="s">
        <v>136</v>
      </c>
      <c r="J46" s="241">
        <v>7.8</v>
      </c>
      <c r="K46" s="241">
        <v>0.7</v>
      </c>
      <c r="L46" s="241">
        <v>0.7</v>
      </c>
      <c r="M46" s="268">
        <v>6102.6605768447871</v>
      </c>
      <c r="N46" s="268">
        <v>0</v>
      </c>
      <c r="O46" s="268">
        <v>0</v>
      </c>
      <c r="P46" s="268" t="s">
        <v>247</v>
      </c>
      <c r="Q46" s="268">
        <f>IF(P46="","",VLOOKUP(P46,'Listen und Kennwerte'!$B$4:$O$11,2,FALSE))</f>
        <v>32</v>
      </c>
      <c r="R46" s="268">
        <f>IF(P46="","",VLOOKUP(P46,'Listen und Kennwerte'!$B$4:$O$11,2,FALSE))</f>
        <v>32</v>
      </c>
      <c r="S46" s="271">
        <f>IF(P46="","",VLOOKUP(P46,'Listen und Kennwerte'!$B$4:$O$11,8,FALSE))</f>
        <v>13700</v>
      </c>
      <c r="T46" s="271">
        <f>IF(P46="","",VLOOKUP(P46,'Listen und Kennwerte'!$B$4:$O$11,9,FALSE))</f>
        <v>11100</v>
      </c>
      <c r="U46" s="271">
        <f>IF(P46="","",VLOOKUP(P46,'Listen und Kennwerte'!$B$4:$O$11,12,FALSE))</f>
        <v>566.66666666666663</v>
      </c>
      <c r="V46" s="241">
        <v>0.6</v>
      </c>
      <c r="W46" s="242">
        <v>1.3</v>
      </c>
      <c r="X46" s="230"/>
      <c r="Y46" s="275">
        <v>38.6</v>
      </c>
      <c r="Z46" s="274">
        <v>0.66</v>
      </c>
      <c r="AA46" s="274">
        <v>0.94</v>
      </c>
      <c r="AB46" s="274">
        <v>1</v>
      </c>
      <c r="AC46" s="276" t="s">
        <v>304</v>
      </c>
      <c r="AD46" s="276">
        <v>12454.409340499567</v>
      </c>
      <c r="AE46" s="276">
        <v>0</v>
      </c>
      <c r="AF46" s="276">
        <v>0</v>
      </c>
      <c r="AG46" s="213">
        <v>0.9</v>
      </c>
      <c r="AH46" s="239"/>
      <c r="AI46" s="273">
        <v>19.5</v>
      </c>
      <c r="AJ46" s="275">
        <v>119.00188124847335</v>
      </c>
      <c r="AK46" s="275">
        <v>23.7</v>
      </c>
      <c r="AL46" s="275">
        <v>144.84</v>
      </c>
      <c r="AM46" s="275">
        <v>0</v>
      </c>
      <c r="AN46" s="275">
        <v>0</v>
      </c>
      <c r="AO46" s="275">
        <v>0</v>
      </c>
      <c r="AP46" s="275">
        <v>0</v>
      </c>
      <c r="AQ46" s="214">
        <v>0.88264799999999999</v>
      </c>
      <c r="AR46" s="417"/>
      <c r="AS46" s="352" t="s">
        <v>247</v>
      </c>
      <c r="AT46" s="353" t="s">
        <v>247</v>
      </c>
      <c r="AU46" s="353" t="s">
        <v>247</v>
      </c>
      <c r="AV46" s="353"/>
      <c r="AW46" s="354"/>
      <c r="AX46" s="353">
        <v>0.5</v>
      </c>
      <c r="AY46" s="353">
        <v>0.6</v>
      </c>
      <c r="AZ46" s="353">
        <v>0.7</v>
      </c>
      <c r="BA46" s="353"/>
      <c r="BB46" s="353"/>
      <c r="BC46" s="332">
        <v>3.86</v>
      </c>
      <c r="BD46" s="333">
        <v>1.66</v>
      </c>
      <c r="BE46" s="333">
        <v>0.9</v>
      </c>
      <c r="BF46" s="333"/>
      <c r="BG46" s="333"/>
      <c r="BH46" s="423" t="s">
        <v>346</v>
      </c>
      <c r="BI46" s="422"/>
      <c r="BJ46" s="334"/>
      <c r="BK46" s="422"/>
      <c r="BL46" s="434">
        <f t="shared" si="0"/>
        <v>0.9</v>
      </c>
    </row>
    <row r="47" spans="2:64" s="344" customFormat="1" ht="20.05" customHeight="1" x14ac:dyDescent="0.6">
      <c r="G47" s="254" t="s">
        <v>87</v>
      </c>
      <c r="H47" s="259" t="s">
        <v>113</v>
      </c>
      <c r="I47" s="259" t="s">
        <v>136</v>
      </c>
      <c r="J47" s="255">
        <v>3.5999999999999996</v>
      </c>
      <c r="K47" s="255">
        <v>0.6</v>
      </c>
      <c r="L47" s="255">
        <v>0.6</v>
      </c>
      <c r="M47" s="257">
        <v>4081.5297136929789</v>
      </c>
      <c r="N47" s="257">
        <v>0</v>
      </c>
      <c r="O47" s="257">
        <v>0</v>
      </c>
      <c r="P47" s="257" t="s">
        <v>246</v>
      </c>
      <c r="Q47" s="257">
        <f>IF(P47="","",VLOOKUP(P47,'Listen und Kennwerte'!$B$4:$O$11,2,FALSE))</f>
        <v>28</v>
      </c>
      <c r="R47" s="257">
        <f>IF(P47="","",VLOOKUP(P47,'Listen und Kennwerte'!$B$4:$O$11,2,FALSE))</f>
        <v>28</v>
      </c>
      <c r="S47" s="260">
        <f>IF(P47="","",VLOOKUP(P47,'Listen und Kennwerte'!$B$4:$O$11,8,FALSE))</f>
        <v>12500</v>
      </c>
      <c r="T47" s="260">
        <f>IF(P47="","",VLOOKUP(P47,'Listen und Kennwerte'!$B$4:$O$11,9,FALSE))</f>
        <v>10400</v>
      </c>
      <c r="U47" s="260">
        <f>IF(P47="","",VLOOKUP(P47,'Listen und Kennwerte'!$B$4:$O$11,12,FALSE))</f>
        <v>540</v>
      </c>
      <c r="V47" s="255">
        <v>0.6</v>
      </c>
      <c r="W47" s="256">
        <v>1.3</v>
      </c>
      <c r="X47" s="230"/>
      <c r="Y47" s="264">
        <v>20.78</v>
      </c>
      <c r="Z47" s="263">
        <v>0.34</v>
      </c>
      <c r="AA47" s="263">
        <v>1</v>
      </c>
      <c r="AB47" s="263">
        <v>1</v>
      </c>
      <c r="AC47" s="265" t="s">
        <v>304</v>
      </c>
      <c r="AD47" s="265">
        <v>11337.582538036053</v>
      </c>
      <c r="AE47" s="265">
        <v>0</v>
      </c>
      <c r="AF47" s="265">
        <v>0</v>
      </c>
      <c r="AG47" s="208">
        <v>0.88</v>
      </c>
      <c r="AH47" s="239"/>
      <c r="AI47" s="262">
        <v>9</v>
      </c>
      <c r="AJ47" s="264">
        <v>36.733767423236806</v>
      </c>
      <c r="AK47" s="264">
        <v>9.5</v>
      </c>
      <c r="AL47" s="264">
        <v>38.74</v>
      </c>
      <c r="AM47" s="264">
        <v>0</v>
      </c>
      <c r="AN47" s="264">
        <v>0</v>
      </c>
      <c r="AO47" s="264">
        <v>0</v>
      </c>
      <c r="AP47" s="264">
        <v>0</v>
      </c>
      <c r="AQ47" s="412">
        <v>0.85294800000000004</v>
      </c>
      <c r="AR47" s="417"/>
      <c r="AS47" s="349" t="s">
        <v>247</v>
      </c>
      <c r="AT47" s="350" t="s">
        <v>247</v>
      </c>
      <c r="AU47" s="350" t="s">
        <v>246</v>
      </c>
      <c r="AV47" s="350"/>
      <c r="AW47" s="351"/>
      <c r="AX47" s="350">
        <v>0.5</v>
      </c>
      <c r="AY47" s="350">
        <v>0.6</v>
      </c>
      <c r="AZ47" s="350">
        <v>0.6</v>
      </c>
      <c r="BA47" s="350"/>
      <c r="BB47" s="350"/>
      <c r="BC47" s="329">
        <v>1.37</v>
      </c>
      <c r="BD47" s="330">
        <v>0.78</v>
      </c>
      <c r="BE47" s="330">
        <v>0.88</v>
      </c>
      <c r="BF47" s="330"/>
      <c r="BG47" s="330"/>
      <c r="BH47" s="418" t="s">
        <v>346</v>
      </c>
      <c r="BI47" s="422"/>
      <c r="BJ47" s="331"/>
      <c r="BK47" s="422"/>
      <c r="BL47" s="434">
        <f t="shared" si="0"/>
        <v>0.88</v>
      </c>
    </row>
    <row r="48" spans="2:64" s="344" customFormat="1" ht="20.05" customHeight="1" x14ac:dyDescent="0.6">
      <c r="G48" s="267" t="s">
        <v>88</v>
      </c>
      <c r="H48" s="270" t="s">
        <v>113</v>
      </c>
      <c r="I48" s="270" t="s">
        <v>136</v>
      </c>
      <c r="J48" s="241">
        <v>7.8</v>
      </c>
      <c r="K48" s="241">
        <v>0.8</v>
      </c>
      <c r="L48" s="241">
        <v>0.8</v>
      </c>
      <c r="M48" s="268">
        <v>8056.2269454055786</v>
      </c>
      <c r="N48" s="268">
        <v>0</v>
      </c>
      <c r="O48" s="268">
        <v>0</v>
      </c>
      <c r="P48" s="268" t="s">
        <v>247</v>
      </c>
      <c r="Q48" s="268">
        <f>IF(P48="","",VLOOKUP(P48,'Listen und Kennwerte'!$B$4:$O$11,2,FALSE))</f>
        <v>32</v>
      </c>
      <c r="R48" s="268">
        <f>IF(P48="","",VLOOKUP(P48,'Listen und Kennwerte'!$B$4:$O$11,2,FALSE))</f>
        <v>32</v>
      </c>
      <c r="S48" s="271">
        <f>IF(P48="","",VLOOKUP(P48,'Listen und Kennwerte'!$B$4:$O$11,8,FALSE))</f>
        <v>13700</v>
      </c>
      <c r="T48" s="271">
        <f>IF(P48="","",VLOOKUP(P48,'Listen und Kennwerte'!$B$4:$O$11,9,FALSE))</f>
        <v>11100</v>
      </c>
      <c r="U48" s="271">
        <f>IF(P48="","",VLOOKUP(P48,'Listen und Kennwerte'!$B$4:$O$11,12,FALSE))</f>
        <v>566.66666666666663</v>
      </c>
      <c r="V48" s="241">
        <v>0.6</v>
      </c>
      <c r="W48" s="242">
        <v>1.3</v>
      </c>
      <c r="X48" s="230"/>
      <c r="Y48" s="275">
        <v>33.770000000000003</v>
      </c>
      <c r="Z48" s="274">
        <v>0.57999999999999996</v>
      </c>
      <c r="AA48" s="274">
        <v>0.96</v>
      </c>
      <c r="AB48" s="274">
        <v>1</v>
      </c>
      <c r="AC48" s="276" t="s">
        <v>304</v>
      </c>
      <c r="AD48" s="276">
        <v>12587.854602196214</v>
      </c>
      <c r="AE48" s="276">
        <v>0</v>
      </c>
      <c r="AF48" s="276">
        <v>0</v>
      </c>
      <c r="AG48" s="213">
        <v>0.89</v>
      </c>
      <c r="AH48" s="239"/>
      <c r="AI48" s="273">
        <v>19.5</v>
      </c>
      <c r="AJ48" s="275">
        <v>157.09642543540878</v>
      </c>
      <c r="AK48" s="275">
        <v>22.7</v>
      </c>
      <c r="AL48" s="275">
        <v>182.26</v>
      </c>
      <c r="AM48" s="275">
        <v>0</v>
      </c>
      <c r="AN48" s="275">
        <v>0</v>
      </c>
      <c r="AO48" s="275">
        <v>0</v>
      </c>
      <c r="AP48" s="275">
        <v>0</v>
      </c>
      <c r="AQ48" s="214">
        <v>0.871035</v>
      </c>
      <c r="AR48" s="417"/>
      <c r="AS48" s="352" t="s">
        <v>247</v>
      </c>
      <c r="AT48" s="353" t="s">
        <v>247</v>
      </c>
      <c r="AU48" s="353" t="s">
        <v>247</v>
      </c>
      <c r="AV48" s="353" t="s">
        <v>247</v>
      </c>
      <c r="AW48" s="354"/>
      <c r="AX48" s="353">
        <v>0.5</v>
      </c>
      <c r="AY48" s="353">
        <v>0.6</v>
      </c>
      <c r="AZ48" s="353">
        <v>0.7</v>
      </c>
      <c r="BA48" s="353">
        <v>0.8</v>
      </c>
      <c r="BB48" s="353"/>
      <c r="BC48" s="332">
        <v>7.24</v>
      </c>
      <c r="BD48" s="333">
        <v>2.83</v>
      </c>
      <c r="BE48" s="333">
        <v>1.49</v>
      </c>
      <c r="BF48" s="333">
        <v>0.89</v>
      </c>
      <c r="BG48" s="333"/>
      <c r="BH48" s="423" t="s">
        <v>346</v>
      </c>
      <c r="BI48" s="422"/>
      <c r="BJ48" s="334"/>
      <c r="BK48" s="422"/>
      <c r="BL48" s="434">
        <f t="shared" si="0"/>
        <v>0.89</v>
      </c>
    </row>
    <row r="49" spans="2:64" s="344" customFormat="1" ht="20.05" customHeight="1" x14ac:dyDescent="0.6">
      <c r="B49" s="357"/>
      <c r="E49" s="357"/>
      <c r="G49" s="254" t="s">
        <v>89</v>
      </c>
      <c r="H49" s="259" t="s">
        <v>113</v>
      </c>
      <c r="I49" s="259" t="s">
        <v>136</v>
      </c>
      <c r="J49" s="255">
        <v>3.5999999999999996</v>
      </c>
      <c r="K49" s="255">
        <v>0.6</v>
      </c>
      <c r="L49" s="255">
        <v>0.6</v>
      </c>
      <c r="M49" s="257">
        <v>4483.9297901916507</v>
      </c>
      <c r="N49" s="257">
        <v>0</v>
      </c>
      <c r="O49" s="257">
        <v>0</v>
      </c>
      <c r="P49" s="257" t="s">
        <v>247</v>
      </c>
      <c r="Q49" s="257">
        <f>IF(P49="","",VLOOKUP(P49,'Listen und Kennwerte'!$B$4:$O$11,2,FALSE))</f>
        <v>32</v>
      </c>
      <c r="R49" s="257">
        <f>IF(P49="","",VLOOKUP(P49,'Listen und Kennwerte'!$B$4:$O$11,2,FALSE))</f>
        <v>32</v>
      </c>
      <c r="S49" s="260">
        <f>IF(P49="","",VLOOKUP(P49,'Listen und Kennwerte'!$B$4:$O$11,8,FALSE))</f>
        <v>13700</v>
      </c>
      <c r="T49" s="260">
        <f>IF(P49="","",VLOOKUP(P49,'Listen und Kennwerte'!$B$4:$O$11,9,FALSE))</f>
        <v>11100</v>
      </c>
      <c r="U49" s="260">
        <f>IF(P49="","",VLOOKUP(P49,'Listen und Kennwerte'!$B$4:$O$11,12,FALSE))</f>
        <v>566.66666666666663</v>
      </c>
      <c r="V49" s="255">
        <v>0.6</v>
      </c>
      <c r="W49" s="256">
        <v>1.3</v>
      </c>
      <c r="X49" s="230"/>
      <c r="Y49" s="264">
        <v>20.78</v>
      </c>
      <c r="Z49" s="263">
        <v>0.36</v>
      </c>
      <c r="AA49" s="263">
        <v>0.99</v>
      </c>
      <c r="AB49" s="263">
        <v>1</v>
      </c>
      <c r="AC49" s="265" t="s">
        <v>304</v>
      </c>
      <c r="AD49" s="265">
        <v>12455.360528310141</v>
      </c>
      <c r="AE49" s="265">
        <v>0</v>
      </c>
      <c r="AF49" s="265">
        <v>0</v>
      </c>
      <c r="AG49" s="208">
        <v>0.85</v>
      </c>
      <c r="AH49" s="239"/>
      <c r="AI49" s="262">
        <v>9</v>
      </c>
      <c r="AJ49" s="264">
        <v>40.35536811172485</v>
      </c>
      <c r="AK49" s="264">
        <v>9.5</v>
      </c>
      <c r="AL49" s="264">
        <v>42.57</v>
      </c>
      <c r="AM49" s="264">
        <v>0</v>
      </c>
      <c r="AN49" s="264">
        <v>0</v>
      </c>
      <c r="AO49" s="264">
        <v>0</v>
      </c>
      <c r="AP49" s="264">
        <v>0</v>
      </c>
      <c r="AQ49" s="209">
        <v>0.791273</v>
      </c>
      <c r="AR49" s="417"/>
      <c r="AS49" s="349" t="s">
        <v>247</v>
      </c>
      <c r="AT49" s="350" t="s">
        <v>247</v>
      </c>
      <c r="AU49" s="350"/>
      <c r="AV49" s="350"/>
      <c r="AW49" s="351"/>
      <c r="AX49" s="350">
        <v>0.5</v>
      </c>
      <c r="AY49" s="350">
        <v>0.6</v>
      </c>
      <c r="AZ49" s="350"/>
      <c r="BA49" s="350"/>
      <c r="BB49" s="350"/>
      <c r="BC49" s="329">
        <v>1.64</v>
      </c>
      <c r="BD49" s="330">
        <v>0.85</v>
      </c>
      <c r="BE49" s="330"/>
      <c r="BF49" s="330"/>
      <c r="BG49" s="330"/>
      <c r="BH49" s="418" t="s">
        <v>346</v>
      </c>
      <c r="BI49" s="422"/>
      <c r="BJ49" s="331"/>
      <c r="BK49" s="422"/>
      <c r="BL49" s="434">
        <f t="shared" si="0"/>
        <v>0.85</v>
      </c>
    </row>
    <row r="50" spans="2:64" s="344" customFormat="1" ht="20.05" customHeight="1" x14ac:dyDescent="0.6">
      <c r="B50" s="357"/>
      <c r="E50" s="357"/>
      <c r="G50" s="267" t="s">
        <v>90</v>
      </c>
      <c r="H50" s="270" t="s">
        <v>113</v>
      </c>
      <c r="I50" s="270" t="s">
        <v>136</v>
      </c>
      <c r="J50" s="241">
        <v>3.5999999999999996</v>
      </c>
      <c r="K50" s="241">
        <v>0.7</v>
      </c>
      <c r="L50" s="241">
        <v>0.7</v>
      </c>
      <c r="M50" s="268">
        <v>5494.790774230959</v>
      </c>
      <c r="N50" s="268">
        <v>0</v>
      </c>
      <c r="O50" s="268">
        <v>0</v>
      </c>
      <c r="P50" s="268" t="s">
        <v>246</v>
      </c>
      <c r="Q50" s="268">
        <f>IF(P50="","",VLOOKUP(P50,'Listen und Kennwerte'!$B$4:$O$11,2,FALSE))</f>
        <v>28</v>
      </c>
      <c r="R50" s="268">
        <f>IF(P50="","",VLOOKUP(P50,'Listen und Kennwerte'!$B$4:$O$11,2,FALSE))</f>
        <v>28</v>
      </c>
      <c r="S50" s="271">
        <f>IF(P50="","",VLOOKUP(P50,'Listen und Kennwerte'!$B$4:$O$11,8,FALSE))</f>
        <v>12500</v>
      </c>
      <c r="T50" s="271">
        <f>IF(P50="","",VLOOKUP(P50,'Listen und Kennwerte'!$B$4:$O$11,9,FALSE))</f>
        <v>10400</v>
      </c>
      <c r="U50" s="271">
        <f>IF(P50="","",VLOOKUP(P50,'Listen und Kennwerte'!$B$4:$O$11,12,FALSE))</f>
        <v>540</v>
      </c>
      <c r="V50" s="241">
        <v>0.6</v>
      </c>
      <c r="W50" s="242">
        <v>1.3</v>
      </c>
      <c r="X50" s="230"/>
      <c r="Y50" s="275">
        <v>17.82</v>
      </c>
      <c r="Z50" s="274">
        <v>0.28999999999999998</v>
      </c>
      <c r="AA50" s="274">
        <v>1</v>
      </c>
      <c r="AB50" s="274">
        <v>1</v>
      </c>
      <c r="AC50" s="276" t="s">
        <v>348</v>
      </c>
      <c r="AD50" s="276">
        <v>11213.858722920326</v>
      </c>
      <c r="AE50" s="276">
        <v>0</v>
      </c>
      <c r="AF50" s="276">
        <v>0</v>
      </c>
      <c r="AG50" s="213">
        <v>0.75</v>
      </c>
      <c r="AH50" s="239"/>
      <c r="AI50" s="273">
        <v>9</v>
      </c>
      <c r="AJ50" s="275">
        <v>49.453116968078625</v>
      </c>
      <c r="AK50" s="275">
        <v>9.3000000000000007</v>
      </c>
      <c r="AL50" s="275">
        <v>51.37</v>
      </c>
      <c r="AM50" s="275">
        <v>0</v>
      </c>
      <c r="AN50" s="275">
        <v>0</v>
      </c>
      <c r="AO50" s="275">
        <v>0</v>
      </c>
      <c r="AP50" s="275">
        <v>0</v>
      </c>
      <c r="AQ50" s="214">
        <v>0.82250599999999996</v>
      </c>
      <c r="AR50" s="417"/>
      <c r="AS50" s="352" t="s">
        <v>247</v>
      </c>
      <c r="AT50" s="353" t="s">
        <v>247</v>
      </c>
      <c r="AU50" s="353" t="s">
        <v>247</v>
      </c>
      <c r="AV50" s="353" t="s">
        <v>246</v>
      </c>
      <c r="AW50" s="354"/>
      <c r="AX50" s="353">
        <v>0.5</v>
      </c>
      <c r="AY50" s="353">
        <v>0.6</v>
      </c>
      <c r="AZ50" s="353">
        <v>0.7</v>
      </c>
      <c r="BA50" s="353">
        <v>0.7</v>
      </c>
      <c r="BB50" s="353"/>
      <c r="BC50" s="332">
        <v>2.42</v>
      </c>
      <c r="BD50" s="333">
        <v>1.18</v>
      </c>
      <c r="BE50" s="333">
        <v>0.64</v>
      </c>
      <c r="BF50" s="333">
        <v>0.83</v>
      </c>
      <c r="BG50" s="333"/>
      <c r="BH50" s="423" t="s">
        <v>346</v>
      </c>
      <c r="BI50" s="422"/>
      <c r="BJ50" s="334"/>
      <c r="BK50" s="422"/>
      <c r="BL50" s="434">
        <f t="shared" si="0"/>
        <v>0.82250599999999996</v>
      </c>
    </row>
    <row r="51" spans="2:64" s="344" customFormat="1" ht="20.05" customHeight="1" x14ac:dyDescent="0.6">
      <c r="B51" s="357"/>
      <c r="E51" s="357"/>
      <c r="G51" s="254" t="s">
        <v>91</v>
      </c>
      <c r="H51" s="259" t="s">
        <v>113</v>
      </c>
      <c r="I51" s="259" t="s">
        <v>136</v>
      </c>
      <c r="J51" s="255">
        <v>3.5999999999999996</v>
      </c>
      <c r="K51" s="255">
        <v>0.7</v>
      </c>
      <c r="L51" s="255">
        <v>0.7</v>
      </c>
      <c r="M51" s="257">
        <v>5660.3295570373557</v>
      </c>
      <c r="N51" s="257">
        <v>0</v>
      </c>
      <c r="O51" s="257">
        <v>0</v>
      </c>
      <c r="P51" s="257" t="s">
        <v>246</v>
      </c>
      <c r="Q51" s="257">
        <f>IF(P51="","",VLOOKUP(P51,'Listen und Kennwerte'!$B$4:$O$11,2,FALSE))</f>
        <v>28</v>
      </c>
      <c r="R51" s="257">
        <f>IF(P51="","",VLOOKUP(P51,'Listen und Kennwerte'!$B$4:$O$11,2,FALSE))</f>
        <v>28</v>
      </c>
      <c r="S51" s="260">
        <f>IF(P51="","",VLOOKUP(P51,'Listen und Kennwerte'!$B$4:$O$11,8,FALSE))</f>
        <v>12500</v>
      </c>
      <c r="T51" s="260">
        <f>IF(P51="","",VLOOKUP(P51,'Listen und Kennwerte'!$B$4:$O$11,9,FALSE))</f>
        <v>10400</v>
      </c>
      <c r="U51" s="260">
        <f>IF(P51="","",VLOOKUP(P51,'Listen und Kennwerte'!$B$4:$O$11,12,FALSE))</f>
        <v>540</v>
      </c>
      <c r="V51" s="255">
        <v>0.6</v>
      </c>
      <c r="W51" s="256">
        <v>1.3</v>
      </c>
      <c r="X51" s="230"/>
      <c r="Y51" s="264">
        <v>17.82</v>
      </c>
      <c r="Z51" s="263">
        <v>0.28999999999999998</v>
      </c>
      <c r="AA51" s="263">
        <v>1</v>
      </c>
      <c r="AB51" s="263">
        <v>1</v>
      </c>
      <c r="AC51" s="265" t="s">
        <v>348</v>
      </c>
      <c r="AD51" s="265">
        <v>11551.692973545625</v>
      </c>
      <c r="AE51" s="265">
        <v>0</v>
      </c>
      <c r="AF51" s="265">
        <v>0</v>
      </c>
      <c r="AG51" s="208">
        <v>0.8</v>
      </c>
      <c r="AH51" s="239"/>
      <c r="AI51" s="262">
        <v>9</v>
      </c>
      <c r="AJ51" s="264">
        <v>50.942966013336196</v>
      </c>
      <c r="AK51" s="264">
        <v>9.3000000000000007</v>
      </c>
      <c r="AL51" s="264">
        <v>52.99</v>
      </c>
      <c r="AM51" s="264">
        <v>0</v>
      </c>
      <c r="AN51" s="264">
        <v>0</v>
      </c>
      <c r="AO51" s="264">
        <v>0</v>
      </c>
      <c r="AP51" s="264">
        <v>0</v>
      </c>
      <c r="AQ51" s="209">
        <v>0.87075100000000005</v>
      </c>
      <c r="AR51" s="417"/>
      <c r="AS51" s="349" t="s">
        <v>247</v>
      </c>
      <c r="AT51" s="350" t="s">
        <v>247</v>
      </c>
      <c r="AU51" s="350" t="s">
        <v>247</v>
      </c>
      <c r="AV51" s="350" t="s">
        <v>246</v>
      </c>
      <c r="AW51" s="351"/>
      <c r="AX51" s="350">
        <v>0.5</v>
      </c>
      <c r="AY51" s="350">
        <v>0.6</v>
      </c>
      <c r="AZ51" s="350">
        <v>0.7</v>
      </c>
      <c r="BA51" s="350">
        <v>0.7</v>
      </c>
      <c r="BB51" s="350"/>
      <c r="BC51" s="329">
        <v>2.56</v>
      </c>
      <c r="BD51" s="330">
        <v>1.25</v>
      </c>
      <c r="BE51" s="330">
        <v>0.68</v>
      </c>
      <c r="BF51" s="330">
        <v>0.88</v>
      </c>
      <c r="BG51" s="330"/>
      <c r="BH51" s="418" t="s">
        <v>346</v>
      </c>
      <c r="BI51" s="422"/>
      <c r="BJ51" s="331"/>
      <c r="BK51" s="422"/>
      <c r="BL51" s="434">
        <f t="shared" si="0"/>
        <v>0.87075100000000005</v>
      </c>
    </row>
    <row r="52" spans="2:64" s="344" customFormat="1" ht="20.05" customHeight="1" x14ac:dyDescent="0.6">
      <c r="B52" s="357"/>
      <c r="E52" s="357"/>
      <c r="G52" s="267" t="s">
        <v>92</v>
      </c>
      <c r="H52" s="270" t="s">
        <v>113</v>
      </c>
      <c r="I52" s="270" t="s">
        <v>136</v>
      </c>
      <c r="J52" s="241">
        <v>3.5999999999999996</v>
      </c>
      <c r="K52" s="241">
        <v>0.7</v>
      </c>
      <c r="L52" s="241">
        <v>0.7</v>
      </c>
      <c r="M52" s="268">
        <v>5429.0433045959498</v>
      </c>
      <c r="N52" s="268">
        <v>0</v>
      </c>
      <c r="O52" s="268">
        <v>0</v>
      </c>
      <c r="P52" s="268" t="s">
        <v>246</v>
      </c>
      <c r="Q52" s="268">
        <f>IF(P52="","",VLOOKUP(P52,'Listen und Kennwerte'!$B$4:$O$11,2,FALSE))</f>
        <v>28</v>
      </c>
      <c r="R52" s="268">
        <f>IF(P52="","",VLOOKUP(P52,'Listen und Kennwerte'!$B$4:$O$11,2,FALSE))</f>
        <v>28</v>
      </c>
      <c r="S52" s="271">
        <f>IF(P52="","",VLOOKUP(P52,'Listen und Kennwerte'!$B$4:$O$11,8,FALSE))</f>
        <v>12500</v>
      </c>
      <c r="T52" s="271">
        <f>IF(P52="","",VLOOKUP(P52,'Listen und Kennwerte'!$B$4:$O$11,9,FALSE))</f>
        <v>10400</v>
      </c>
      <c r="U52" s="271">
        <f>IF(P52="","",VLOOKUP(P52,'Listen und Kennwerte'!$B$4:$O$11,12,FALSE))</f>
        <v>540</v>
      </c>
      <c r="V52" s="241">
        <v>0.6</v>
      </c>
      <c r="W52" s="242">
        <v>1.3</v>
      </c>
      <c r="X52" s="230"/>
      <c r="Y52" s="275">
        <v>17.82</v>
      </c>
      <c r="Z52" s="274">
        <v>0.28999999999999998</v>
      </c>
      <c r="AA52" s="274">
        <v>1</v>
      </c>
      <c r="AB52" s="274">
        <v>1</v>
      </c>
      <c r="AC52" s="276" t="s">
        <v>348</v>
      </c>
      <c r="AD52" s="276">
        <v>11079.680213461124</v>
      </c>
      <c r="AE52" s="276">
        <v>0</v>
      </c>
      <c r="AF52" s="276">
        <v>0</v>
      </c>
      <c r="AG52" s="213">
        <v>0.74</v>
      </c>
      <c r="AH52" s="239"/>
      <c r="AI52" s="273">
        <v>9</v>
      </c>
      <c r="AJ52" s="275">
        <v>48.861389741363546</v>
      </c>
      <c r="AK52" s="275">
        <v>9.3000000000000007</v>
      </c>
      <c r="AL52" s="275">
        <v>50.74</v>
      </c>
      <c r="AM52" s="275">
        <v>0</v>
      </c>
      <c r="AN52" s="275">
        <v>0</v>
      </c>
      <c r="AO52" s="275">
        <v>0</v>
      </c>
      <c r="AP52" s="275">
        <v>0</v>
      </c>
      <c r="AQ52" s="214">
        <v>0.80374100000000004</v>
      </c>
      <c r="AR52" s="417"/>
      <c r="AS52" s="352" t="s">
        <v>247</v>
      </c>
      <c r="AT52" s="353" t="s">
        <v>247</v>
      </c>
      <c r="AU52" s="353" t="s">
        <v>247</v>
      </c>
      <c r="AV52" s="353" t="s">
        <v>246</v>
      </c>
      <c r="AW52" s="354"/>
      <c r="AX52" s="353">
        <v>0.5</v>
      </c>
      <c r="AY52" s="353">
        <v>0.6</v>
      </c>
      <c r="AZ52" s="353">
        <v>0.7</v>
      </c>
      <c r="BA52" s="353">
        <v>0.7</v>
      </c>
      <c r="BB52" s="353"/>
      <c r="BC52" s="332">
        <v>2.36</v>
      </c>
      <c r="BD52" s="333">
        <v>1.1499999999999999</v>
      </c>
      <c r="BE52" s="333">
        <v>0.63</v>
      </c>
      <c r="BF52" s="333">
        <v>0.81</v>
      </c>
      <c r="BG52" s="333"/>
      <c r="BH52" s="423" t="s">
        <v>346</v>
      </c>
      <c r="BI52" s="422"/>
      <c r="BJ52" s="334"/>
      <c r="BK52" s="422"/>
      <c r="BL52" s="434">
        <f t="shared" si="0"/>
        <v>0.80374100000000004</v>
      </c>
    </row>
    <row r="53" spans="2:64" s="344" customFormat="1" ht="20.05" customHeight="1" x14ac:dyDescent="0.6">
      <c r="B53" s="357"/>
      <c r="E53" s="357"/>
      <c r="G53" s="254" t="s">
        <v>93</v>
      </c>
      <c r="H53" s="259" t="s">
        <v>113</v>
      </c>
      <c r="I53" s="259" t="s">
        <v>136</v>
      </c>
      <c r="J53" s="255">
        <v>3.5999999999999996</v>
      </c>
      <c r="K53" s="255">
        <v>0.7</v>
      </c>
      <c r="L53" s="255">
        <v>0.7</v>
      </c>
      <c r="M53" s="257">
        <v>5363.0611752319328</v>
      </c>
      <c r="N53" s="257">
        <v>0</v>
      </c>
      <c r="O53" s="257">
        <v>0</v>
      </c>
      <c r="P53" s="257" t="s">
        <v>170</v>
      </c>
      <c r="Q53" s="257">
        <f>IF(P53="","",VLOOKUP(P53,'Listen und Kennwerte'!$B$4:$O$11,2,FALSE))</f>
        <v>28</v>
      </c>
      <c r="R53" s="257">
        <f>IF(P53="","",VLOOKUP(P53,'Listen und Kennwerte'!$B$4:$O$11,2,FALSE))</f>
        <v>28</v>
      </c>
      <c r="S53" s="260">
        <f>IF(P53="","",VLOOKUP(P53,'Listen und Kennwerte'!$B$4:$O$11,8,FALSE))</f>
        <v>12600</v>
      </c>
      <c r="T53" s="260">
        <f>IF(P53="","",VLOOKUP(P53,'Listen und Kennwerte'!$B$4:$O$11,9,FALSE))</f>
        <v>10500</v>
      </c>
      <c r="U53" s="260">
        <f>IF(P53="","",VLOOKUP(P53,'Listen und Kennwerte'!$B$4:$O$11,12,FALSE))</f>
        <v>540</v>
      </c>
      <c r="V53" s="255">
        <v>0.6</v>
      </c>
      <c r="W53" s="256">
        <v>1.3</v>
      </c>
      <c r="X53" s="230"/>
      <c r="Y53" s="264">
        <v>17.82</v>
      </c>
      <c r="Z53" s="263">
        <v>0.28999999999999998</v>
      </c>
      <c r="AA53" s="263">
        <v>1</v>
      </c>
      <c r="AB53" s="263">
        <v>1</v>
      </c>
      <c r="AC53" s="265" t="s">
        <v>348</v>
      </c>
      <c r="AD53" s="265">
        <v>10945.022806595784</v>
      </c>
      <c r="AE53" s="265">
        <v>0</v>
      </c>
      <c r="AF53" s="265">
        <v>0</v>
      </c>
      <c r="AG53" s="208">
        <v>0.72</v>
      </c>
      <c r="AH53" s="239"/>
      <c r="AI53" s="262">
        <v>9</v>
      </c>
      <c r="AJ53" s="264">
        <v>48.267550577087391</v>
      </c>
      <c r="AK53" s="264">
        <v>9.3000000000000007</v>
      </c>
      <c r="AL53" s="264">
        <v>50.08</v>
      </c>
      <c r="AM53" s="264">
        <v>0</v>
      </c>
      <c r="AN53" s="264">
        <v>0</v>
      </c>
      <c r="AO53" s="264">
        <v>0</v>
      </c>
      <c r="AP53" s="264">
        <v>0</v>
      </c>
      <c r="AQ53" s="209">
        <v>0.78508900000000004</v>
      </c>
      <c r="AR53" s="417"/>
      <c r="AS53" s="349" t="s">
        <v>170</v>
      </c>
      <c r="AT53" s="350" t="s">
        <v>173</v>
      </c>
      <c r="AU53" s="350" t="s">
        <v>170</v>
      </c>
      <c r="AV53" s="350" t="s">
        <v>173</v>
      </c>
      <c r="AW53" s="351" t="s">
        <v>170</v>
      </c>
      <c r="AX53" s="350">
        <v>0.7</v>
      </c>
      <c r="AY53" s="350">
        <v>0.7</v>
      </c>
      <c r="AZ53" s="350">
        <v>0.7</v>
      </c>
      <c r="BA53" s="350">
        <v>0.7</v>
      </c>
      <c r="BB53" s="350">
        <v>0.7</v>
      </c>
      <c r="BC53" s="329">
        <v>0.79</v>
      </c>
      <c r="BD53" s="330">
        <v>1.06</v>
      </c>
      <c r="BE53" s="330">
        <v>0.79</v>
      </c>
      <c r="BF53" s="330">
        <v>1.06</v>
      </c>
      <c r="BG53" s="330">
        <v>0.79</v>
      </c>
      <c r="BH53" s="418" t="s">
        <v>347</v>
      </c>
      <c r="BI53" s="422"/>
      <c r="BJ53" s="331"/>
      <c r="BK53" s="422"/>
      <c r="BL53" s="434">
        <f t="shared" si="0"/>
        <v>0.78508900000000004</v>
      </c>
    </row>
    <row r="54" spans="2:64" s="344" customFormat="1" ht="20.05" customHeight="1" x14ac:dyDescent="0.6">
      <c r="B54" s="357"/>
      <c r="E54" s="357"/>
      <c r="G54" s="267" t="s">
        <v>94</v>
      </c>
      <c r="H54" s="270" t="s">
        <v>113</v>
      </c>
      <c r="I54" s="270" t="s">
        <v>136</v>
      </c>
      <c r="J54" s="241">
        <v>3.5999999999999996</v>
      </c>
      <c r="K54" s="241">
        <v>0.6</v>
      </c>
      <c r="L54" s="241">
        <v>0.6</v>
      </c>
      <c r="M54" s="268">
        <v>3815.1022750854495</v>
      </c>
      <c r="N54" s="268">
        <v>0</v>
      </c>
      <c r="O54" s="268">
        <v>0</v>
      </c>
      <c r="P54" s="268" t="s">
        <v>246</v>
      </c>
      <c r="Q54" s="268">
        <f>IF(P54="","",VLOOKUP(P54,'Listen und Kennwerte'!$B$4:$O$11,2,FALSE))</f>
        <v>28</v>
      </c>
      <c r="R54" s="268">
        <f>IF(P54="","",VLOOKUP(P54,'Listen und Kennwerte'!$B$4:$O$11,2,FALSE))</f>
        <v>28</v>
      </c>
      <c r="S54" s="271">
        <f>IF(P54="","",VLOOKUP(P54,'Listen und Kennwerte'!$B$4:$O$11,8,FALSE))</f>
        <v>12500</v>
      </c>
      <c r="T54" s="271">
        <f>IF(P54="","",VLOOKUP(P54,'Listen und Kennwerte'!$B$4:$O$11,9,FALSE))</f>
        <v>10400</v>
      </c>
      <c r="U54" s="271">
        <f>IF(P54="","",VLOOKUP(P54,'Listen und Kennwerte'!$B$4:$O$11,12,FALSE))</f>
        <v>540</v>
      </c>
      <c r="V54" s="241">
        <v>0.6</v>
      </c>
      <c r="W54" s="242">
        <v>1.3</v>
      </c>
      <c r="X54" s="230"/>
      <c r="Y54" s="275">
        <v>20.78</v>
      </c>
      <c r="Z54" s="274">
        <v>0.34</v>
      </c>
      <c r="AA54" s="274">
        <v>1</v>
      </c>
      <c r="AB54" s="274">
        <v>1</v>
      </c>
      <c r="AC54" s="276" t="s">
        <v>304</v>
      </c>
      <c r="AD54" s="276">
        <v>10597.506319681805</v>
      </c>
      <c r="AE54" s="276">
        <v>0</v>
      </c>
      <c r="AF54" s="276">
        <v>0</v>
      </c>
      <c r="AG54" s="213">
        <v>0.82</v>
      </c>
      <c r="AH54" s="239"/>
      <c r="AI54" s="273">
        <v>9</v>
      </c>
      <c r="AJ54" s="275">
        <v>34.335920475769043</v>
      </c>
      <c r="AK54" s="275">
        <v>9.4</v>
      </c>
      <c r="AL54" s="275">
        <v>36.08</v>
      </c>
      <c r="AM54" s="275">
        <v>0</v>
      </c>
      <c r="AN54" s="275">
        <v>0</v>
      </c>
      <c r="AO54" s="275">
        <v>0</v>
      </c>
      <c r="AP54" s="275">
        <v>0</v>
      </c>
      <c r="AQ54" s="214">
        <v>0.750027</v>
      </c>
      <c r="AR54" s="417"/>
      <c r="AS54" s="352" t="s">
        <v>247</v>
      </c>
      <c r="AT54" s="353" t="s">
        <v>247</v>
      </c>
      <c r="AU54" s="353" t="s">
        <v>246</v>
      </c>
      <c r="AV54" s="353"/>
      <c r="AW54" s="354"/>
      <c r="AX54" s="353">
        <v>0.5</v>
      </c>
      <c r="AY54" s="353">
        <v>0.6</v>
      </c>
      <c r="AZ54" s="353">
        <v>0.6</v>
      </c>
      <c r="BA54" s="353"/>
      <c r="BB54" s="353"/>
      <c r="BC54" s="332">
        <v>1.2</v>
      </c>
      <c r="BD54" s="333">
        <v>0.72</v>
      </c>
      <c r="BE54" s="333">
        <v>0.82</v>
      </c>
      <c r="BF54" s="333"/>
      <c r="BG54" s="333"/>
      <c r="BH54" s="423" t="s">
        <v>346</v>
      </c>
      <c r="BI54" s="422"/>
      <c r="BJ54" s="334"/>
      <c r="BK54" s="422"/>
      <c r="BL54" s="434">
        <f t="shared" si="0"/>
        <v>0.82</v>
      </c>
    </row>
    <row r="55" spans="2:64" s="344" customFormat="1" ht="20.05" customHeight="1" x14ac:dyDescent="0.6">
      <c r="B55" s="357"/>
      <c r="E55" s="357"/>
      <c r="G55" s="254" t="s">
        <v>95</v>
      </c>
      <c r="H55" s="259" t="s">
        <v>113</v>
      </c>
      <c r="I55" s="259" t="s">
        <v>136</v>
      </c>
      <c r="J55" s="255">
        <v>3.5999999999999996</v>
      </c>
      <c r="K55" s="255">
        <v>0.5</v>
      </c>
      <c r="L55" s="255">
        <v>0.5</v>
      </c>
      <c r="M55" s="257">
        <v>3229.2600038909904</v>
      </c>
      <c r="N55" s="257">
        <v>0</v>
      </c>
      <c r="O55" s="257">
        <v>0</v>
      </c>
      <c r="P55" s="257" t="s">
        <v>247</v>
      </c>
      <c r="Q55" s="257">
        <f>IF(P55="","",VLOOKUP(P55,'Listen und Kennwerte'!$B$4:$O$11,2,FALSE))</f>
        <v>32</v>
      </c>
      <c r="R55" s="257">
        <f>IF(P55="","",VLOOKUP(P55,'Listen und Kennwerte'!$B$4:$O$11,2,FALSE))</f>
        <v>32</v>
      </c>
      <c r="S55" s="260">
        <f>IF(P55="","",VLOOKUP(P55,'Listen und Kennwerte'!$B$4:$O$11,8,FALSE))</f>
        <v>13700</v>
      </c>
      <c r="T55" s="260">
        <f>IF(P55="","",VLOOKUP(P55,'Listen und Kennwerte'!$B$4:$O$11,9,FALSE))</f>
        <v>11100</v>
      </c>
      <c r="U55" s="260">
        <f>IF(P55="","",VLOOKUP(P55,'Listen und Kennwerte'!$B$4:$O$11,12,FALSE))</f>
        <v>566.66666666666663</v>
      </c>
      <c r="V55" s="255">
        <v>0.6</v>
      </c>
      <c r="W55" s="256">
        <v>1.3</v>
      </c>
      <c r="X55" s="230"/>
      <c r="Y55" s="264">
        <v>24.94</v>
      </c>
      <c r="Z55" s="263">
        <v>0.43</v>
      </c>
      <c r="AA55" s="263">
        <v>0.98</v>
      </c>
      <c r="AB55" s="263">
        <v>1</v>
      </c>
      <c r="AC55" s="265" t="s">
        <v>304</v>
      </c>
      <c r="AD55" s="265">
        <v>12917.040015563962</v>
      </c>
      <c r="AE55" s="265">
        <v>0</v>
      </c>
      <c r="AF55" s="265">
        <v>0</v>
      </c>
      <c r="AG55" s="208">
        <v>0.89</v>
      </c>
      <c r="AH55" s="239"/>
      <c r="AI55" s="262">
        <v>9</v>
      </c>
      <c r="AJ55" s="264">
        <v>29.063340035018911</v>
      </c>
      <c r="AK55" s="264">
        <v>9.8000000000000007</v>
      </c>
      <c r="AL55" s="264">
        <v>31.49</v>
      </c>
      <c r="AM55" s="264">
        <v>0</v>
      </c>
      <c r="AN55" s="264">
        <v>0</v>
      </c>
      <c r="AO55" s="264">
        <v>0</v>
      </c>
      <c r="AP55" s="264">
        <v>0</v>
      </c>
      <c r="AQ55" s="209">
        <v>0.86725200000000002</v>
      </c>
      <c r="AR55" s="417"/>
      <c r="AS55" s="349" t="s">
        <v>177</v>
      </c>
      <c r="AT55" s="350" t="s">
        <v>173</v>
      </c>
      <c r="AU55" s="350" t="s">
        <v>170</v>
      </c>
      <c r="AV55" s="350" t="s">
        <v>246</v>
      </c>
      <c r="AW55" s="351" t="s">
        <v>247</v>
      </c>
      <c r="AX55" s="350">
        <v>0.5</v>
      </c>
      <c r="AY55" s="350">
        <v>0.5</v>
      </c>
      <c r="AZ55" s="350">
        <v>0.5</v>
      </c>
      <c r="BA55" s="350">
        <v>0.5</v>
      </c>
      <c r="BB55" s="350">
        <v>0.5</v>
      </c>
      <c r="BC55" s="329">
        <v>1.51</v>
      </c>
      <c r="BD55" s="330">
        <v>1.51</v>
      </c>
      <c r="BE55" s="330">
        <v>1.1299999999999999</v>
      </c>
      <c r="BF55" s="330">
        <v>1.1299999999999999</v>
      </c>
      <c r="BG55" s="330">
        <v>0.89</v>
      </c>
      <c r="BH55" s="418" t="s">
        <v>346</v>
      </c>
      <c r="BI55" s="422"/>
      <c r="BJ55" s="331"/>
      <c r="BK55" s="422"/>
      <c r="BL55" s="434">
        <f t="shared" si="0"/>
        <v>0.89</v>
      </c>
    </row>
    <row r="56" spans="2:64" s="344" customFormat="1" ht="20.05" customHeight="1" x14ac:dyDescent="0.6">
      <c r="B56" s="357"/>
      <c r="E56" s="357"/>
      <c r="G56" s="267" t="s">
        <v>96</v>
      </c>
      <c r="H56" s="270" t="s">
        <v>113</v>
      </c>
      <c r="I56" s="270" t="s">
        <v>136</v>
      </c>
      <c r="J56" s="241">
        <v>3.5999999999999996</v>
      </c>
      <c r="K56" s="241">
        <v>0.5</v>
      </c>
      <c r="L56" s="241">
        <v>0.5</v>
      </c>
      <c r="M56" s="268">
        <v>2881.3641405487065</v>
      </c>
      <c r="N56" s="268">
        <v>0</v>
      </c>
      <c r="O56" s="268">
        <v>0</v>
      </c>
      <c r="P56" s="268" t="s">
        <v>247</v>
      </c>
      <c r="Q56" s="268">
        <f>IF(P56="","",VLOOKUP(P56,'Listen und Kennwerte'!$B$4:$O$11,2,FALSE))</f>
        <v>32</v>
      </c>
      <c r="R56" s="268">
        <f>IF(P56="","",VLOOKUP(P56,'Listen und Kennwerte'!$B$4:$O$11,2,FALSE))</f>
        <v>32</v>
      </c>
      <c r="S56" s="271">
        <f>IF(P56="","",VLOOKUP(P56,'Listen und Kennwerte'!$B$4:$O$11,8,FALSE))</f>
        <v>13700</v>
      </c>
      <c r="T56" s="271">
        <f>IF(P56="","",VLOOKUP(P56,'Listen und Kennwerte'!$B$4:$O$11,9,FALSE))</f>
        <v>11100</v>
      </c>
      <c r="U56" s="271">
        <f>IF(P56="","",VLOOKUP(P56,'Listen und Kennwerte'!$B$4:$O$11,12,FALSE))</f>
        <v>566.66666666666663</v>
      </c>
      <c r="V56" s="241">
        <v>0.6</v>
      </c>
      <c r="W56" s="242">
        <v>1.3</v>
      </c>
      <c r="X56" s="230"/>
      <c r="Y56" s="275">
        <v>24.94</v>
      </c>
      <c r="Z56" s="274">
        <v>0.43</v>
      </c>
      <c r="AA56" s="274">
        <v>0.98</v>
      </c>
      <c r="AB56" s="274">
        <v>1</v>
      </c>
      <c r="AC56" s="276" t="s">
        <v>304</v>
      </c>
      <c r="AD56" s="276">
        <v>11525.456562194826</v>
      </c>
      <c r="AE56" s="276">
        <v>0</v>
      </c>
      <c r="AF56" s="276">
        <v>0</v>
      </c>
      <c r="AG56" s="213">
        <v>0.8</v>
      </c>
      <c r="AH56" s="239"/>
      <c r="AI56" s="273">
        <v>9</v>
      </c>
      <c r="AJ56" s="275">
        <v>25.932277264938357</v>
      </c>
      <c r="AK56" s="275">
        <v>9.6</v>
      </c>
      <c r="AL56" s="275">
        <v>27.85</v>
      </c>
      <c r="AM56" s="275">
        <v>0</v>
      </c>
      <c r="AN56" s="275">
        <v>0</v>
      </c>
      <c r="AO56" s="275">
        <v>0</v>
      </c>
      <c r="AP56" s="275">
        <v>0</v>
      </c>
      <c r="AQ56" s="214">
        <v>0.69948900000000003</v>
      </c>
      <c r="AR56" s="417"/>
      <c r="AS56" s="352" t="s">
        <v>177</v>
      </c>
      <c r="AT56" s="353" t="s">
        <v>173</v>
      </c>
      <c r="AU56" s="353" t="s">
        <v>170</v>
      </c>
      <c r="AV56" s="353" t="s">
        <v>246</v>
      </c>
      <c r="AW56" s="354" t="s">
        <v>247</v>
      </c>
      <c r="AX56" s="353">
        <v>0.5</v>
      </c>
      <c r="AY56" s="353">
        <v>0.5</v>
      </c>
      <c r="AZ56" s="353">
        <v>0.5</v>
      </c>
      <c r="BA56" s="353">
        <v>0.5</v>
      </c>
      <c r="BB56" s="353">
        <v>0.5</v>
      </c>
      <c r="BC56" s="332">
        <v>1.22</v>
      </c>
      <c r="BD56" s="333">
        <v>1.22</v>
      </c>
      <c r="BE56" s="333">
        <v>0.91</v>
      </c>
      <c r="BF56" s="333">
        <v>0.91</v>
      </c>
      <c r="BG56" s="333">
        <v>0.8</v>
      </c>
      <c r="BH56" s="423" t="s">
        <v>346</v>
      </c>
      <c r="BI56" s="422"/>
      <c r="BJ56" s="334"/>
      <c r="BK56" s="422"/>
      <c r="BL56" s="434">
        <f t="shared" si="0"/>
        <v>0.8</v>
      </c>
    </row>
    <row r="57" spans="2:64" s="344" customFormat="1" ht="20.05" customHeight="1" x14ac:dyDescent="0.6">
      <c r="B57" s="357"/>
      <c r="E57" s="357"/>
      <c r="G57" s="254" t="s">
        <v>97</v>
      </c>
      <c r="H57" s="259" t="s">
        <v>113</v>
      </c>
      <c r="I57" s="259" t="s">
        <v>136</v>
      </c>
      <c r="J57" s="255">
        <v>3.5999999999999996</v>
      </c>
      <c r="K57" s="255">
        <v>0.6</v>
      </c>
      <c r="L57" s="255">
        <v>0.6</v>
      </c>
      <c r="M57" s="257">
        <v>4146.3457244110105</v>
      </c>
      <c r="N57" s="257">
        <v>0</v>
      </c>
      <c r="O57" s="257">
        <v>0</v>
      </c>
      <c r="P57" s="257" t="s">
        <v>246</v>
      </c>
      <c r="Q57" s="257">
        <f>IF(P57="","",VLOOKUP(P57,'Listen und Kennwerte'!$B$4:$O$11,2,FALSE))</f>
        <v>28</v>
      </c>
      <c r="R57" s="257">
        <f>IF(P57="","",VLOOKUP(P57,'Listen und Kennwerte'!$B$4:$O$11,2,FALSE))</f>
        <v>28</v>
      </c>
      <c r="S57" s="260">
        <f>IF(P57="","",VLOOKUP(P57,'Listen und Kennwerte'!$B$4:$O$11,8,FALSE))</f>
        <v>12500</v>
      </c>
      <c r="T57" s="260">
        <f>IF(P57="","",VLOOKUP(P57,'Listen und Kennwerte'!$B$4:$O$11,9,FALSE))</f>
        <v>10400</v>
      </c>
      <c r="U57" s="260">
        <f>IF(P57="","",VLOOKUP(P57,'Listen und Kennwerte'!$B$4:$O$11,12,FALSE))</f>
        <v>540</v>
      </c>
      <c r="V57" s="255">
        <v>0.6</v>
      </c>
      <c r="W57" s="256">
        <v>1.3</v>
      </c>
      <c r="X57" s="230"/>
      <c r="Y57" s="264">
        <v>20.78</v>
      </c>
      <c r="Z57" s="263">
        <v>0.34</v>
      </c>
      <c r="AA57" s="263">
        <v>1</v>
      </c>
      <c r="AB57" s="263">
        <v>1</v>
      </c>
      <c r="AC57" s="265" t="s">
        <v>304</v>
      </c>
      <c r="AD57" s="265">
        <v>11517.627012252808</v>
      </c>
      <c r="AE57" s="265">
        <v>0</v>
      </c>
      <c r="AF57" s="265">
        <v>0</v>
      </c>
      <c r="AG57" s="208">
        <v>0.89</v>
      </c>
      <c r="AH57" s="239"/>
      <c r="AI57" s="262">
        <v>9</v>
      </c>
      <c r="AJ57" s="264">
        <v>37.31711151969909</v>
      </c>
      <c r="AK57" s="264">
        <v>9.5</v>
      </c>
      <c r="AL57" s="264">
        <v>39.39</v>
      </c>
      <c r="AM57" s="264">
        <v>0</v>
      </c>
      <c r="AN57" s="264">
        <v>0</v>
      </c>
      <c r="AO57" s="264">
        <v>0</v>
      </c>
      <c r="AP57" s="264">
        <v>0</v>
      </c>
      <c r="AQ57" s="209">
        <v>0.87898500000000002</v>
      </c>
      <c r="AR57" s="417"/>
      <c r="AS57" s="349" t="s">
        <v>247</v>
      </c>
      <c r="AT57" s="350" t="s">
        <v>247</v>
      </c>
      <c r="AU57" s="350" t="s">
        <v>246</v>
      </c>
      <c r="AV57" s="350"/>
      <c r="AW57" s="351"/>
      <c r="AX57" s="350">
        <v>0.5</v>
      </c>
      <c r="AY57" s="350">
        <v>0.6</v>
      </c>
      <c r="AZ57" s="350">
        <v>0.6</v>
      </c>
      <c r="BA57" s="350"/>
      <c r="BB57" s="350"/>
      <c r="BC57" s="329">
        <v>1.41</v>
      </c>
      <c r="BD57" s="330">
        <v>0.79</v>
      </c>
      <c r="BE57" s="330">
        <v>0.89</v>
      </c>
      <c r="BF57" s="330"/>
      <c r="BG57" s="330"/>
      <c r="BH57" s="418" t="s">
        <v>346</v>
      </c>
      <c r="BI57" s="422"/>
      <c r="BJ57" s="331"/>
      <c r="BK57" s="422"/>
      <c r="BL57" s="434">
        <f t="shared" si="0"/>
        <v>0.89</v>
      </c>
    </row>
    <row r="58" spans="2:64" s="344" customFormat="1" ht="20.05" customHeight="1" x14ac:dyDescent="0.6">
      <c r="B58" s="357"/>
      <c r="E58" s="357"/>
      <c r="G58" s="267" t="s">
        <v>98</v>
      </c>
      <c r="H58" s="270" t="s">
        <v>113</v>
      </c>
      <c r="I58" s="270" t="s">
        <v>136</v>
      </c>
      <c r="J58" s="241">
        <v>3.5999999999999996</v>
      </c>
      <c r="K58" s="241">
        <v>0.55000000000000004</v>
      </c>
      <c r="L58" s="241">
        <v>0.55000000000000004</v>
      </c>
      <c r="M58" s="268">
        <v>3356.9220316314722</v>
      </c>
      <c r="N58" s="268">
        <v>0</v>
      </c>
      <c r="O58" s="268">
        <v>0</v>
      </c>
      <c r="P58" s="268" t="s">
        <v>246</v>
      </c>
      <c r="Q58" s="268">
        <f>IF(P58="","",VLOOKUP(P58,'Listen und Kennwerte'!$B$4:$O$11,2,FALSE))</f>
        <v>28</v>
      </c>
      <c r="R58" s="268">
        <f>IF(P58="","",VLOOKUP(P58,'Listen und Kennwerte'!$B$4:$O$11,2,FALSE))</f>
        <v>28</v>
      </c>
      <c r="S58" s="271">
        <f>IF(P58="","",VLOOKUP(P58,'Listen und Kennwerte'!$B$4:$O$11,8,FALSE))</f>
        <v>12500</v>
      </c>
      <c r="T58" s="271">
        <f>IF(P58="","",VLOOKUP(P58,'Listen und Kennwerte'!$B$4:$O$11,9,FALSE))</f>
        <v>10400</v>
      </c>
      <c r="U58" s="271">
        <f>IF(P58="","",VLOOKUP(P58,'Listen und Kennwerte'!$B$4:$O$11,12,FALSE))</f>
        <v>540</v>
      </c>
      <c r="V58" s="241">
        <v>0.6</v>
      </c>
      <c r="W58" s="242">
        <v>1.3</v>
      </c>
      <c r="X58" s="230"/>
      <c r="Y58" s="275">
        <v>22.67</v>
      </c>
      <c r="Z58" s="274">
        <v>0.37</v>
      </c>
      <c r="AA58" s="274">
        <v>0.99</v>
      </c>
      <c r="AB58" s="274">
        <v>1</v>
      </c>
      <c r="AC58" s="276" t="s">
        <v>304</v>
      </c>
      <c r="AD58" s="276">
        <v>11097.262914484205</v>
      </c>
      <c r="AE58" s="276">
        <v>0</v>
      </c>
      <c r="AF58" s="276">
        <v>0</v>
      </c>
      <c r="AG58" s="213">
        <v>0.87</v>
      </c>
      <c r="AH58" s="239"/>
      <c r="AI58" s="273">
        <v>9</v>
      </c>
      <c r="AJ58" s="275">
        <v>30.212298284683246</v>
      </c>
      <c r="AK58" s="275">
        <v>9.5</v>
      </c>
      <c r="AL58" s="275">
        <v>32.15</v>
      </c>
      <c r="AM58" s="275">
        <v>0</v>
      </c>
      <c r="AN58" s="275">
        <v>0</v>
      </c>
      <c r="AO58" s="275">
        <v>0</v>
      </c>
      <c r="AP58" s="275">
        <v>0</v>
      </c>
      <c r="AQ58" s="214">
        <v>0.82711199999999996</v>
      </c>
      <c r="AR58" s="417"/>
      <c r="AS58" s="352" t="s">
        <v>247</v>
      </c>
      <c r="AT58" s="353" t="s">
        <v>247</v>
      </c>
      <c r="AU58" s="353" t="s">
        <v>246</v>
      </c>
      <c r="AV58" s="353"/>
      <c r="AW58" s="354"/>
      <c r="AX58" s="353">
        <v>0.5</v>
      </c>
      <c r="AY58" s="353">
        <v>0.55000000000000004</v>
      </c>
      <c r="AZ58" s="353">
        <v>0.55000000000000004</v>
      </c>
      <c r="BA58" s="353"/>
      <c r="BB58" s="353"/>
      <c r="BC58" s="332">
        <v>0.95</v>
      </c>
      <c r="BD58" s="333">
        <v>0.76</v>
      </c>
      <c r="BE58" s="333">
        <v>0.87</v>
      </c>
      <c r="BF58" s="333"/>
      <c r="BG58" s="333"/>
      <c r="BH58" s="423" t="s">
        <v>346</v>
      </c>
      <c r="BI58" s="422"/>
      <c r="BJ58" s="334"/>
      <c r="BK58" s="422"/>
      <c r="BL58" s="434">
        <f t="shared" si="0"/>
        <v>0.87</v>
      </c>
    </row>
    <row r="59" spans="2:64" s="344" customFormat="1" ht="20.05" customHeight="1" x14ac:dyDescent="0.6">
      <c r="B59" s="357"/>
      <c r="E59" s="357"/>
      <c r="G59" s="254" t="s">
        <v>99</v>
      </c>
      <c r="H59" s="259" t="s">
        <v>113</v>
      </c>
      <c r="I59" s="259" t="s">
        <v>136</v>
      </c>
      <c r="J59" s="255">
        <v>7.8</v>
      </c>
      <c r="K59" s="255">
        <v>0.7</v>
      </c>
      <c r="L59" s="255">
        <v>0.7</v>
      </c>
      <c r="M59" s="257">
        <v>4876.1622951524068</v>
      </c>
      <c r="N59" s="257">
        <v>0</v>
      </c>
      <c r="O59" s="257">
        <v>0</v>
      </c>
      <c r="P59" s="257" t="s">
        <v>246</v>
      </c>
      <c r="Q59" s="257">
        <f>IF(P59="","",VLOOKUP(P59,'Listen und Kennwerte'!$B$4:$O$11,2,FALSE))</f>
        <v>28</v>
      </c>
      <c r="R59" s="257">
        <f>IF(P59="","",VLOOKUP(P59,'Listen und Kennwerte'!$B$4:$O$11,2,FALSE))</f>
        <v>28</v>
      </c>
      <c r="S59" s="260">
        <f>IF(P59="","",VLOOKUP(P59,'Listen und Kennwerte'!$B$4:$O$11,8,FALSE))</f>
        <v>12500</v>
      </c>
      <c r="T59" s="260">
        <f>IF(P59="","",VLOOKUP(P59,'Listen und Kennwerte'!$B$4:$O$11,9,FALSE))</f>
        <v>10400</v>
      </c>
      <c r="U59" s="260">
        <f>IF(P59="","",VLOOKUP(P59,'Listen und Kennwerte'!$B$4:$O$11,12,FALSE))</f>
        <v>540</v>
      </c>
      <c r="V59" s="255">
        <v>0.6</v>
      </c>
      <c r="W59" s="256">
        <v>1.3</v>
      </c>
      <c r="X59" s="230"/>
      <c r="Y59" s="264">
        <v>38.6</v>
      </c>
      <c r="Z59" s="263">
        <v>0.64</v>
      </c>
      <c r="AA59" s="263">
        <v>0.95</v>
      </c>
      <c r="AB59" s="263">
        <v>1</v>
      </c>
      <c r="AC59" s="265" t="s">
        <v>304</v>
      </c>
      <c r="AD59" s="265">
        <v>9951.3516227600157</v>
      </c>
      <c r="AE59" s="265">
        <v>0</v>
      </c>
      <c r="AF59" s="265">
        <v>0</v>
      </c>
      <c r="AG59" s="208">
        <v>0.81</v>
      </c>
      <c r="AH59" s="239"/>
      <c r="AI59" s="262">
        <v>19.5</v>
      </c>
      <c r="AJ59" s="264">
        <v>95.085164755471936</v>
      </c>
      <c r="AK59" s="264">
        <v>23.1</v>
      </c>
      <c r="AL59" s="264">
        <v>112.7</v>
      </c>
      <c r="AM59" s="264">
        <v>0</v>
      </c>
      <c r="AN59" s="264">
        <v>0</v>
      </c>
      <c r="AO59" s="264">
        <v>0</v>
      </c>
      <c r="AP59" s="264">
        <v>0</v>
      </c>
      <c r="AQ59" s="209">
        <v>0.74552099999999999</v>
      </c>
      <c r="AR59" s="417"/>
      <c r="AS59" s="349" t="s">
        <v>247</v>
      </c>
      <c r="AT59" s="350" t="s">
        <v>247</v>
      </c>
      <c r="AU59" s="350" t="s">
        <v>247</v>
      </c>
      <c r="AV59" s="350" t="s">
        <v>246</v>
      </c>
      <c r="AW59" s="351"/>
      <c r="AX59" s="350">
        <v>0.5</v>
      </c>
      <c r="AY59" s="350">
        <v>0.6</v>
      </c>
      <c r="AZ59" s="350">
        <v>0.7</v>
      </c>
      <c r="BA59" s="350">
        <v>0.7</v>
      </c>
      <c r="BB59" s="350"/>
      <c r="BC59" s="329">
        <v>2.4300000000000002</v>
      </c>
      <c r="BD59" s="330">
        <v>1.0900000000000001</v>
      </c>
      <c r="BE59" s="330">
        <v>0.72</v>
      </c>
      <c r="BF59" s="330">
        <v>0.81</v>
      </c>
      <c r="BG59" s="330"/>
      <c r="BH59" s="418" t="s">
        <v>346</v>
      </c>
      <c r="BI59" s="422"/>
      <c r="BJ59" s="331"/>
      <c r="BK59" s="422"/>
      <c r="BL59" s="434">
        <f t="shared" si="0"/>
        <v>0.81</v>
      </c>
    </row>
    <row r="60" spans="2:64" s="344" customFormat="1" ht="20.05" customHeight="1" x14ac:dyDescent="0.6">
      <c r="B60" s="357"/>
      <c r="E60" s="357"/>
      <c r="G60" s="267" t="s">
        <v>100</v>
      </c>
      <c r="H60" s="270" t="s">
        <v>113</v>
      </c>
      <c r="I60" s="270" t="s">
        <v>136</v>
      </c>
      <c r="J60" s="241">
        <v>7.8</v>
      </c>
      <c r="K60" s="241">
        <v>0.7</v>
      </c>
      <c r="L60" s="241">
        <v>0.7</v>
      </c>
      <c r="M60" s="268">
        <v>5182.0211556260392</v>
      </c>
      <c r="N60" s="268">
        <v>0</v>
      </c>
      <c r="O60" s="268">
        <v>0</v>
      </c>
      <c r="P60" s="268" t="s">
        <v>246</v>
      </c>
      <c r="Q60" s="268">
        <f>IF(P60="","",VLOOKUP(P60,'Listen und Kennwerte'!$B$4:$O$11,2,FALSE))</f>
        <v>28</v>
      </c>
      <c r="R60" s="268">
        <f>IF(P60="","",VLOOKUP(P60,'Listen und Kennwerte'!$B$4:$O$11,2,FALSE))</f>
        <v>28</v>
      </c>
      <c r="S60" s="271">
        <f>IF(P60="","",VLOOKUP(P60,'Listen und Kennwerte'!$B$4:$O$11,8,FALSE))</f>
        <v>12500</v>
      </c>
      <c r="T60" s="271">
        <f>IF(P60="","",VLOOKUP(P60,'Listen und Kennwerte'!$B$4:$O$11,9,FALSE))</f>
        <v>10400</v>
      </c>
      <c r="U60" s="271">
        <f>IF(P60="","",VLOOKUP(P60,'Listen und Kennwerte'!$B$4:$O$11,12,FALSE))</f>
        <v>540</v>
      </c>
      <c r="V60" s="241">
        <v>0.6</v>
      </c>
      <c r="W60" s="242">
        <v>1.3</v>
      </c>
      <c r="X60" s="230"/>
      <c r="Y60" s="275">
        <v>38.6</v>
      </c>
      <c r="Z60" s="274">
        <v>0.64</v>
      </c>
      <c r="AA60" s="274">
        <v>0.95</v>
      </c>
      <c r="AB60" s="274">
        <v>1</v>
      </c>
      <c r="AC60" s="276" t="s">
        <v>304</v>
      </c>
      <c r="AD60" s="276">
        <v>10575.553378828652</v>
      </c>
      <c r="AE60" s="276">
        <v>0</v>
      </c>
      <c r="AF60" s="276">
        <v>0</v>
      </c>
      <c r="AG60" s="213">
        <v>0.86</v>
      </c>
      <c r="AH60" s="239"/>
      <c r="AI60" s="273">
        <v>19.5</v>
      </c>
      <c r="AJ60" s="275">
        <v>101.04941253470777</v>
      </c>
      <c r="AK60" s="275">
        <v>23.3</v>
      </c>
      <c r="AL60" s="275">
        <v>121.17</v>
      </c>
      <c r="AM60" s="275">
        <v>0</v>
      </c>
      <c r="AN60" s="275">
        <v>0</v>
      </c>
      <c r="AO60" s="275">
        <v>0</v>
      </c>
      <c r="AP60" s="275">
        <v>0</v>
      </c>
      <c r="AQ60" s="214">
        <v>0.83370699999999998</v>
      </c>
      <c r="AR60" s="417"/>
      <c r="AS60" s="352" t="s">
        <v>247</v>
      </c>
      <c r="AT60" s="353" t="s">
        <v>247</v>
      </c>
      <c r="AU60" s="353" t="s">
        <v>247</v>
      </c>
      <c r="AV60" s="353" t="s">
        <v>246</v>
      </c>
      <c r="AW60" s="354"/>
      <c r="AX60" s="353">
        <v>0.5</v>
      </c>
      <c r="AY60" s="353">
        <v>0.6</v>
      </c>
      <c r="AZ60" s="353">
        <v>0.7</v>
      </c>
      <c r="BA60" s="353">
        <v>0.7</v>
      </c>
      <c r="BB60" s="353"/>
      <c r="BC60" s="332">
        <v>2.74</v>
      </c>
      <c r="BD60" s="333">
        <v>1.22</v>
      </c>
      <c r="BE60" s="333">
        <v>0.76</v>
      </c>
      <c r="BF60" s="333">
        <v>0.86</v>
      </c>
      <c r="BG60" s="333"/>
      <c r="BH60" s="423" t="s">
        <v>346</v>
      </c>
      <c r="BI60" s="422"/>
      <c r="BJ60" s="334"/>
      <c r="BK60" s="422"/>
      <c r="BL60" s="434">
        <f t="shared" si="0"/>
        <v>0.86</v>
      </c>
    </row>
    <row r="61" spans="2:64" s="344" customFormat="1" ht="20.05" customHeight="1" x14ac:dyDescent="0.6">
      <c r="B61" s="357"/>
      <c r="E61" s="357"/>
      <c r="G61" s="254" t="s">
        <v>101</v>
      </c>
      <c r="H61" s="259" t="s">
        <v>113</v>
      </c>
      <c r="I61" s="259" t="s">
        <v>136</v>
      </c>
      <c r="J61" s="255">
        <v>7.8</v>
      </c>
      <c r="K61" s="255">
        <v>0.7</v>
      </c>
      <c r="L61" s="255">
        <v>0.7</v>
      </c>
      <c r="M61" s="257">
        <v>4750.4138454453741</v>
      </c>
      <c r="N61" s="257">
        <v>0</v>
      </c>
      <c r="O61" s="257">
        <v>0</v>
      </c>
      <c r="P61" s="257" t="s">
        <v>170</v>
      </c>
      <c r="Q61" s="257">
        <f>IF(P61="","",VLOOKUP(P61,'Listen und Kennwerte'!$B$4:$O$11,2,FALSE))</f>
        <v>28</v>
      </c>
      <c r="R61" s="257">
        <f>IF(P61="","",VLOOKUP(P61,'Listen und Kennwerte'!$B$4:$O$11,2,FALSE))</f>
        <v>28</v>
      </c>
      <c r="S61" s="260">
        <f>IF(P61="","",VLOOKUP(P61,'Listen und Kennwerte'!$B$4:$O$11,8,FALSE))</f>
        <v>12600</v>
      </c>
      <c r="T61" s="260">
        <f>IF(P61="","",VLOOKUP(P61,'Listen und Kennwerte'!$B$4:$O$11,9,FALSE))</f>
        <v>10500</v>
      </c>
      <c r="U61" s="260">
        <f>IF(P61="","",VLOOKUP(P61,'Listen und Kennwerte'!$B$4:$O$11,12,FALSE))</f>
        <v>540</v>
      </c>
      <c r="V61" s="255">
        <v>0.6</v>
      </c>
      <c r="W61" s="256">
        <v>1.3</v>
      </c>
      <c r="X61" s="230"/>
      <c r="Y61" s="264">
        <v>38.6</v>
      </c>
      <c r="Z61" s="263">
        <v>0.63</v>
      </c>
      <c r="AA61" s="263">
        <v>0.95</v>
      </c>
      <c r="AB61" s="263">
        <v>1</v>
      </c>
      <c r="AC61" s="265" t="s">
        <v>304</v>
      </c>
      <c r="AD61" s="265">
        <v>9694.7221335619888</v>
      </c>
      <c r="AE61" s="265">
        <v>0</v>
      </c>
      <c r="AF61" s="265">
        <v>0</v>
      </c>
      <c r="AG61" s="208">
        <v>0.79</v>
      </c>
      <c r="AH61" s="239"/>
      <c r="AI61" s="262">
        <v>19.5</v>
      </c>
      <c r="AJ61" s="264">
        <v>92.633069986184793</v>
      </c>
      <c r="AK61" s="264">
        <v>22.9</v>
      </c>
      <c r="AL61" s="264">
        <v>109.11</v>
      </c>
      <c r="AM61" s="264">
        <v>0</v>
      </c>
      <c r="AN61" s="264">
        <v>0</v>
      </c>
      <c r="AO61" s="264">
        <v>0</v>
      </c>
      <c r="AP61" s="264">
        <v>0</v>
      </c>
      <c r="AQ61" s="209">
        <v>0.71047199999999999</v>
      </c>
      <c r="AR61" s="417"/>
      <c r="AS61" s="349" t="s">
        <v>170</v>
      </c>
      <c r="AT61" s="350" t="s">
        <v>173</v>
      </c>
      <c r="AU61" s="350" t="s">
        <v>170</v>
      </c>
      <c r="AV61" s="350" t="s">
        <v>173</v>
      </c>
      <c r="AW61" s="351" t="s">
        <v>170</v>
      </c>
      <c r="AX61" s="350">
        <v>0.7</v>
      </c>
      <c r="AY61" s="350">
        <v>0.7</v>
      </c>
      <c r="AZ61" s="350">
        <v>0.7</v>
      </c>
      <c r="BA61" s="350">
        <v>0.7</v>
      </c>
      <c r="BB61" s="350">
        <v>0.7</v>
      </c>
      <c r="BC61" s="329">
        <v>0.79</v>
      </c>
      <c r="BD61" s="330">
        <v>0.95</v>
      </c>
      <c r="BE61" s="330">
        <v>0.79</v>
      </c>
      <c r="BF61" s="330">
        <v>0.95</v>
      </c>
      <c r="BG61" s="330">
        <v>0.79</v>
      </c>
      <c r="BH61" s="418" t="s">
        <v>347</v>
      </c>
      <c r="BI61" s="422"/>
      <c r="BJ61" s="331"/>
      <c r="BK61" s="422"/>
      <c r="BL61" s="434">
        <f t="shared" si="0"/>
        <v>0.79</v>
      </c>
    </row>
    <row r="62" spans="2:64" s="344" customFormat="1" ht="20.05" customHeight="1" x14ac:dyDescent="0.6">
      <c r="B62" s="357"/>
      <c r="E62" s="357"/>
      <c r="G62" s="267" t="s">
        <v>102</v>
      </c>
      <c r="H62" s="270" t="s">
        <v>113</v>
      </c>
      <c r="I62" s="270" t="s">
        <v>136</v>
      </c>
      <c r="J62" s="241">
        <v>7.8</v>
      </c>
      <c r="K62" s="241">
        <v>0.7</v>
      </c>
      <c r="L62" s="241">
        <v>0.7</v>
      </c>
      <c r="M62" s="268">
        <v>5356.2173778550441</v>
      </c>
      <c r="N62" s="268">
        <v>0</v>
      </c>
      <c r="O62" s="268">
        <v>0</v>
      </c>
      <c r="P62" s="268" t="s">
        <v>246</v>
      </c>
      <c r="Q62" s="268">
        <f>IF(P62="","",VLOOKUP(P62,'Listen und Kennwerte'!$B$4:$O$11,2,FALSE))</f>
        <v>28</v>
      </c>
      <c r="R62" s="268">
        <f>IF(P62="","",VLOOKUP(P62,'Listen und Kennwerte'!$B$4:$O$11,2,FALSE))</f>
        <v>28</v>
      </c>
      <c r="S62" s="271">
        <f>IF(P62="","",VLOOKUP(P62,'Listen und Kennwerte'!$B$4:$O$11,8,FALSE))</f>
        <v>12500</v>
      </c>
      <c r="T62" s="271">
        <f>IF(P62="","",VLOOKUP(P62,'Listen und Kennwerte'!$B$4:$O$11,9,FALSE))</f>
        <v>10400</v>
      </c>
      <c r="U62" s="271">
        <f>IF(P62="","",VLOOKUP(P62,'Listen und Kennwerte'!$B$4:$O$11,12,FALSE))</f>
        <v>540</v>
      </c>
      <c r="V62" s="241">
        <v>0.6</v>
      </c>
      <c r="W62" s="242">
        <v>1.3</v>
      </c>
      <c r="X62" s="230"/>
      <c r="Y62" s="275">
        <v>38.6</v>
      </c>
      <c r="Z62" s="274">
        <v>0.64</v>
      </c>
      <c r="AA62" s="274">
        <v>0.95</v>
      </c>
      <c r="AB62" s="274">
        <v>1</v>
      </c>
      <c r="AC62" s="276" t="s">
        <v>304</v>
      </c>
      <c r="AD62" s="276">
        <v>10931.05587317356</v>
      </c>
      <c r="AE62" s="276">
        <v>0</v>
      </c>
      <c r="AF62" s="276">
        <v>0</v>
      </c>
      <c r="AG62" s="213">
        <v>0.89</v>
      </c>
      <c r="AH62" s="239"/>
      <c r="AI62" s="273">
        <v>19.5</v>
      </c>
      <c r="AJ62" s="275">
        <v>104.44623886817335</v>
      </c>
      <c r="AK62" s="275">
        <v>23.5</v>
      </c>
      <c r="AL62" s="275">
        <v>126.1</v>
      </c>
      <c r="AM62" s="275">
        <v>0</v>
      </c>
      <c r="AN62" s="275">
        <v>0</v>
      </c>
      <c r="AO62" s="275">
        <v>0</v>
      </c>
      <c r="AP62" s="275">
        <v>0</v>
      </c>
      <c r="AQ62" s="214">
        <v>0.88616099999999998</v>
      </c>
      <c r="AR62" s="417"/>
      <c r="AS62" s="352" t="s">
        <v>247</v>
      </c>
      <c r="AT62" s="353" t="s">
        <v>247</v>
      </c>
      <c r="AU62" s="353" t="s">
        <v>247</v>
      </c>
      <c r="AV62" s="353" t="s">
        <v>246</v>
      </c>
      <c r="AW62" s="354"/>
      <c r="AX62" s="353">
        <v>0.5</v>
      </c>
      <c r="AY62" s="353">
        <v>0.6</v>
      </c>
      <c r="AZ62" s="353">
        <v>0.7</v>
      </c>
      <c r="BA62" s="353">
        <v>0.7</v>
      </c>
      <c r="BB62" s="353"/>
      <c r="BC62" s="332">
        <v>2.94</v>
      </c>
      <c r="BD62" s="333">
        <v>1.3</v>
      </c>
      <c r="BE62" s="333">
        <v>0.79</v>
      </c>
      <c r="BF62" s="333">
        <v>0.89</v>
      </c>
      <c r="BG62" s="333"/>
      <c r="BH62" s="423" t="s">
        <v>346</v>
      </c>
      <c r="BI62" s="422"/>
      <c r="BJ62" s="334"/>
      <c r="BK62" s="422"/>
      <c r="BL62" s="434">
        <f t="shared" si="0"/>
        <v>0.89</v>
      </c>
    </row>
    <row r="63" spans="2:64" s="344" customFormat="1" ht="20.05" customHeight="1" x14ac:dyDescent="0.6">
      <c r="B63" s="357"/>
      <c r="E63" s="357"/>
      <c r="G63" s="254" t="s">
        <v>103</v>
      </c>
      <c r="H63" s="259" t="s">
        <v>113</v>
      </c>
      <c r="I63" s="259" t="s">
        <v>136</v>
      </c>
      <c r="J63" s="255">
        <v>3.5999999999999996</v>
      </c>
      <c r="K63" s="255">
        <v>0.7</v>
      </c>
      <c r="L63" s="255">
        <v>0.7</v>
      </c>
      <c r="M63" s="257">
        <v>5062.3107838439992</v>
      </c>
      <c r="N63" s="257">
        <v>0</v>
      </c>
      <c r="O63" s="257">
        <v>0</v>
      </c>
      <c r="P63" s="257" t="s">
        <v>170</v>
      </c>
      <c r="Q63" s="257">
        <f>IF(P63="","",VLOOKUP(P63,'Listen und Kennwerte'!$B$4:$O$11,2,FALSE))</f>
        <v>28</v>
      </c>
      <c r="R63" s="257">
        <f>IF(P63="","",VLOOKUP(P63,'Listen und Kennwerte'!$B$4:$O$11,2,FALSE))</f>
        <v>28</v>
      </c>
      <c r="S63" s="260">
        <f>IF(P63="","",VLOOKUP(P63,'Listen und Kennwerte'!$B$4:$O$11,8,FALSE))</f>
        <v>12600</v>
      </c>
      <c r="T63" s="260">
        <f>IF(P63="","",VLOOKUP(P63,'Listen und Kennwerte'!$B$4:$O$11,9,FALSE))</f>
        <v>10500</v>
      </c>
      <c r="U63" s="260">
        <f>IF(P63="","",VLOOKUP(P63,'Listen und Kennwerte'!$B$4:$O$11,12,FALSE))</f>
        <v>540</v>
      </c>
      <c r="V63" s="255">
        <v>0.6</v>
      </c>
      <c r="W63" s="256">
        <v>1.3</v>
      </c>
      <c r="X63" s="230"/>
      <c r="Y63" s="264">
        <v>17.82</v>
      </c>
      <c r="Z63" s="263">
        <v>0.28999999999999998</v>
      </c>
      <c r="AA63" s="263">
        <v>1</v>
      </c>
      <c r="AB63" s="263">
        <v>1</v>
      </c>
      <c r="AC63" s="265" t="s">
        <v>348</v>
      </c>
      <c r="AD63" s="265">
        <v>10331.246497640816</v>
      </c>
      <c r="AE63" s="265">
        <v>0</v>
      </c>
      <c r="AF63" s="265">
        <v>0</v>
      </c>
      <c r="AG63" s="208">
        <v>0.64</v>
      </c>
      <c r="AH63" s="239"/>
      <c r="AI63" s="262">
        <v>9</v>
      </c>
      <c r="AJ63" s="264">
        <v>45.560797054595987</v>
      </c>
      <c r="AK63" s="264">
        <v>9.3000000000000007</v>
      </c>
      <c r="AL63" s="264">
        <v>47.17</v>
      </c>
      <c r="AM63" s="264">
        <v>0</v>
      </c>
      <c r="AN63" s="264">
        <v>0</v>
      </c>
      <c r="AO63" s="264">
        <v>0</v>
      </c>
      <c r="AP63" s="264">
        <v>0</v>
      </c>
      <c r="AQ63" s="209">
        <v>0.70295600000000003</v>
      </c>
      <c r="AR63" s="417"/>
      <c r="AS63" s="349" t="s">
        <v>170</v>
      </c>
      <c r="AT63" s="350" t="s">
        <v>173</v>
      </c>
      <c r="AU63" s="350" t="s">
        <v>170</v>
      </c>
      <c r="AV63" s="350" t="s">
        <v>173</v>
      </c>
      <c r="AW63" s="351" t="s">
        <v>170</v>
      </c>
      <c r="AX63" s="350">
        <v>0.7</v>
      </c>
      <c r="AY63" s="350">
        <v>0.7</v>
      </c>
      <c r="AZ63" s="350">
        <v>0.7</v>
      </c>
      <c r="BA63" s="350">
        <v>0.7</v>
      </c>
      <c r="BB63" s="350">
        <v>0.7</v>
      </c>
      <c r="BC63" s="329">
        <v>0.71</v>
      </c>
      <c r="BD63" s="330">
        <v>0.95</v>
      </c>
      <c r="BE63" s="330">
        <v>0.71</v>
      </c>
      <c r="BF63" s="330">
        <v>0.95</v>
      </c>
      <c r="BG63" s="330">
        <v>0.71</v>
      </c>
      <c r="BH63" s="418" t="s">
        <v>347</v>
      </c>
      <c r="BI63" s="422"/>
      <c r="BJ63" s="331"/>
      <c r="BK63" s="422"/>
      <c r="BL63" s="434">
        <f t="shared" si="0"/>
        <v>0.70295600000000003</v>
      </c>
    </row>
    <row r="64" spans="2:64" s="344" customFormat="1" ht="20.05" customHeight="1" x14ac:dyDescent="0.6">
      <c r="B64" s="357"/>
      <c r="E64" s="357"/>
      <c r="G64" s="267" t="s">
        <v>104</v>
      </c>
      <c r="H64" s="270" t="s">
        <v>113</v>
      </c>
      <c r="I64" s="270" t="s">
        <v>136</v>
      </c>
      <c r="J64" s="241">
        <v>3.5999999999999996</v>
      </c>
      <c r="K64" s="241">
        <v>0.7</v>
      </c>
      <c r="L64" s="241">
        <v>0.7</v>
      </c>
      <c r="M64" s="268">
        <v>5190.8237036132805</v>
      </c>
      <c r="N64" s="268">
        <v>0</v>
      </c>
      <c r="O64" s="268">
        <v>0</v>
      </c>
      <c r="P64" s="268" t="s">
        <v>170</v>
      </c>
      <c r="Q64" s="268">
        <f>IF(P64="","",VLOOKUP(P64,'Listen und Kennwerte'!$B$4:$O$11,2,FALSE))</f>
        <v>28</v>
      </c>
      <c r="R64" s="268">
        <f>IF(P64="","",VLOOKUP(P64,'Listen und Kennwerte'!$B$4:$O$11,2,FALSE))</f>
        <v>28</v>
      </c>
      <c r="S64" s="271">
        <f>IF(P64="","",VLOOKUP(P64,'Listen und Kennwerte'!$B$4:$O$11,8,FALSE))</f>
        <v>12600</v>
      </c>
      <c r="T64" s="271">
        <f>IF(P64="","",VLOOKUP(P64,'Listen und Kennwerte'!$B$4:$O$11,9,FALSE))</f>
        <v>10500</v>
      </c>
      <c r="U64" s="271">
        <f>IF(P64="","",VLOOKUP(P64,'Listen und Kennwerte'!$B$4:$O$11,12,FALSE))</f>
        <v>540</v>
      </c>
      <c r="V64" s="241">
        <v>0.6</v>
      </c>
      <c r="W64" s="242">
        <v>1.3</v>
      </c>
      <c r="X64" s="230"/>
      <c r="Y64" s="275">
        <v>17.82</v>
      </c>
      <c r="Z64" s="274">
        <v>0.28999999999999998</v>
      </c>
      <c r="AA64" s="274">
        <v>1</v>
      </c>
      <c r="AB64" s="274">
        <v>1</v>
      </c>
      <c r="AC64" s="276" t="s">
        <v>348</v>
      </c>
      <c r="AD64" s="276">
        <v>10593.517762476084</v>
      </c>
      <c r="AE64" s="276">
        <v>0</v>
      </c>
      <c r="AF64" s="276">
        <v>0</v>
      </c>
      <c r="AG64" s="213">
        <v>0.67</v>
      </c>
      <c r="AH64" s="239"/>
      <c r="AI64" s="273">
        <v>9</v>
      </c>
      <c r="AJ64" s="275">
        <v>46.71741333251952</v>
      </c>
      <c r="AK64" s="275">
        <v>9.3000000000000007</v>
      </c>
      <c r="AL64" s="275">
        <v>48.42</v>
      </c>
      <c r="AM64" s="275">
        <v>0</v>
      </c>
      <c r="AN64" s="275">
        <v>0</v>
      </c>
      <c r="AO64" s="275">
        <v>0</v>
      </c>
      <c r="AP64" s="275">
        <v>0</v>
      </c>
      <c r="AQ64" s="214">
        <v>0.73751</v>
      </c>
      <c r="AR64" s="417"/>
      <c r="AS64" s="352" t="s">
        <v>170</v>
      </c>
      <c r="AT64" s="353" t="s">
        <v>173</v>
      </c>
      <c r="AU64" s="353" t="s">
        <v>170</v>
      </c>
      <c r="AV64" s="353" t="s">
        <v>173</v>
      </c>
      <c r="AW64" s="354" t="s">
        <v>170</v>
      </c>
      <c r="AX64" s="353">
        <v>0.7</v>
      </c>
      <c r="AY64" s="353">
        <v>0.7</v>
      </c>
      <c r="AZ64" s="353">
        <v>0.7</v>
      </c>
      <c r="BA64" s="353">
        <v>0.7</v>
      </c>
      <c r="BB64" s="353">
        <v>0.7</v>
      </c>
      <c r="BC64" s="332">
        <v>0.74</v>
      </c>
      <c r="BD64" s="333">
        <v>1</v>
      </c>
      <c r="BE64" s="333">
        <v>0.74</v>
      </c>
      <c r="BF64" s="333">
        <v>1</v>
      </c>
      <c r="BG64" s="333">
        <v>0.74</v>
      </c>
      <c r="BH64" s="423" t="s">
        <v>347</v>
      </c>
      <c r="BI64" s="422"/>
      <c r="BJ64" s="334"/>
      <c r="BK64" s="422"/>
      <c r="BL64" s="434">
        <f t="shared" si="0"/>
        <v>0.73751</v>
      </c>
    </row>
    <row r="65" spans="1:64" s="344" customFormat="1" ht="20.05" customHeight="1" x14ac:dyDescent="0.6">
      <c r="B65" s="357"/>
      <c r="E65" s="357"/>
      <c r="G65" s="254" t="s">
        <v>105</v>
      </c>
      <c r="H65" s="259" t="s">
        <v>113</v>
      </c>
      <c r="I65" s="259" t="s">
        <v>136</v>
      </c>
      <c r="J65" s="255">
        <v>3.5999999999999996</v>
      </c>
      <c r="K65" s="255">
        <v>0.6</v>
      </c>
      <c r="L65" s="255">
        <v>0.6</v>
      </c>
      <c r="M65" s="257">
        <v>3477.5174414062499</v>
      </c>
      <c r="N65" s="257">
        <v>0</v>
      </c>
      <c r="O65" s="257">
        <v>0</v>
      </c>
      <c r="P65" s="257" t="s">
        <v>173</v>
      </c>
      <c r="Q65" s="257">
        <f>IF(P65="","",VLOOKUP(P65,'Listen und Kennwerte'!$B$4:$O$11,2,FALSE))</f>
        <v>24</v>
      </c>
      <c r="R65" s="257">
        <f>IF(P65="","",VLOOKUP(P65,'Listen und Kennwerte'!$B$4:$O$11,2,FALSE))</f>
        <v>24</v>
      </c>
      <c r="S65" s="260">
        <f>IF(P65="","",VLOOKUP(P65,'Listen und Kennwerte'!$B$4:$O$11,8,FALSE))</f>
        <v>11000</v>
      </c>
      <c r="T65" s="260">
        <f>IF(P65="","",VLOOKUP(P65,'Listen und Kennwerte'!$B$4:$O$11,9,FALSE))</f>
        <v>9100</v>
      </c>
      <c r="U65" s="260">
        <f>IF(P65="","",VLOOKUP(P65,'Listen und Kennwerte'!$B$4:$O$11,12,FALSE))</f>
        <v>540</v>
      </c>
      <c r="V65" s="255">
        <v>0.6</v>
      </c>
      <c r="W65" s="256">
        <v>1.3</v>
      </c>
      <c r="X65" s="230"/>
      <c r="Y65" s="264">
        <v>20.78</v>
      </c>
      <c r="Z65" s="263">
        <v>0.34</v>
      </c>
      <c r="AA65" s="263">
        <v>1</v>
      </c>
      <c r="AB65" s="263">
        <v>1</v>
      </c>
      <c r="AC65" s="265" t="s">
        <v>304</v>
      </c>
      <c r="AD65" s="265">
        <v>9659.7706705729161</v>
      </c>
      <c r="AE65" s="265">
        <v>0</v>
      </c>
      <c r="AF65" s="265">
        <v>0</v>
      </c>
      <c r="AG65" s="208">
        <v>0.87</v>
      </c>
      <c r="AH65" s="239"/>
      <c r="AI65" s="262">
        <v>9</v>
      </c>
      <c r="AJ65" s="264">
        <v>31.297656972656245</v>
      </c>
      <c r="AK65" s="264">
        <v>9.4</v>
      </c>
      <c r="AL65" s="264">
        <v>32.94</v>
      </c>
      <c r="AM65" s="264">
        <v>0</v>
      </c>
      <c r="AN65" s="264">
        <v>0</v>
      </c>
      <c r="AO65" s="264">
        <v>0</v>
      </c>
      <c r="AP65" s="264">
        <v>0</v>
      </c>
      <c r="AQ65" s="209">
        <v>0.84309699999999999</v>
      </c>
      <c r="AR65" s="417"/>
      <c r="AS65" s="349" t="s">
        <v>247</v>
      </c>
      <c r="AT65" s="350" t="s">
        <v>247</v>
      </c>
      <c r="AU65" s="350" t="s">
        <v>246</v>
      </c>
      <c r="AV65" s="350" t="s">
        <v>170</v>
      </c>
      <c r="AW65" s="351" t="s">
        <v>173</v>
      </c>
      <c r="AX65" s="350">
        <v>0.5</v>
      </c>
      <c r="AY65" s="350">
        <v>0.6</v>
      </c>
      <c r="AZ65" s="350">
        <v>0.6</v>
      </c>
      <c r="BA65" s="350">
        <v>0.6</v>
      </c>
      <c r="BB65" s="350">
        <v>0.6</v>
      </c>
      <c r="BC65" s="329">
        <v>1.01</v>
      </c>
      <c r="BD65" s="330">
        <v>0.66</v>
      </c>
      <c r="BE65" s="330">
        <v>0.75</v>
      </c>
      <c r="BF65" s="330">
        <v>0.75</v>
      </c>
      <c r="BG65" s="330">
        <v>0.87</v>
      </c>
      <c r="BH65" s="418" t="s">
        <v>346</v>
      </c>
      <c r="BI65" s="422"/>
      <c r="BJ65" s="331"/>
      <c r="BK65" s="422"/>
      <c r="BL65" s="434">
        <f t="shared" si="0"/>
        <v>0.87</v>
      </c>
    </row>
    <row r="66" spans="1:64" s="344" customFormat="1" ht="20.05" customHeight="1" x14ac:dyDescent="0.6">
      <c r="B66" s="357"/>
      <c r="E66" s="357"/>
      <c r="G66" s="267" t="s">
        <v>106</v>
      </c>
      <c r="H66" s="270" t="s">
        <v>113</v>
      </c>
      <c r="I66" s="270" t="s">
        <v>136</v>
      </c>
      <c r="J66" s="241">
        <v>3.5999999999999996</v>
      </c>
      <c r="K66" s="241">
        <v>0.5</v>
      </c>
      <c r="L66" s="241">
        <v>0.5</v>
      </c>
      <c r="M66" s="268">
        <v>3106.7283265686051</v>
      </c>
      <c r="N66" s="268">
        <v>0</v>
      </c>
      <c r="O66" s="268">
        <v>0</v>
      </c>
      <c r="P66" s="268" t="s">
        <v>247</v>
      </c>
      <c r="Q66" s="268">
        <f>IF(P66="","",VLOOKUP(P66,'Listen und Kennwerte'!$B$4:$O$11,2,FALSE))</f>
        <v>32</v>
      </c>
      <c r="R66" s="268">
        <f>IF(P66="","",VLOOKUP(P66,'Listen und Kennwerte'!$B$4:$O$11,2,FALSE))</f>
        <v>32</v>
      </c>
      <c r="S66" s="271">
        <f>IF(P66="","",VLOOKUP(P66,'Listen und Kennwerte'!$B$4:$O$11,8,FALSE))</f>
        <v>13700</v>
      </c>
      <c r="T66" s="271">
        <f>IF(P66="","",VLOOKUP(P66,'Listen und Kennwerte'!$B$4:$O$11,9,FALSE))</f>
        <v>11100</v>
      </c>
      <c r="U66" s="271">
        <f>IF(P66="","",VLOOKUP(P66,'Listen und Kennwerte'!$B$4:$O$11,12,FALSE))</f>
        <v>566.66666666666663</v>
      </c>
      <c r="V66" s="241">
        <v>0.6</v>
      </c>
      <c r="W66" s="242">
        <v>1.3</v>
      </c>
      <c r="X66" s="230"/>
      <c r="Y66" s="275">
        <v>24.94</v>
      </c>
      <c r="Z66" s="274">
        <v>0.43</v>
      </c>
      <c r="AA66" s="274">
        <v>0.98</v>
      </c>
      <c r="AB66" s="274">
        <v>1</v>
      </c>
      <c r="AC66" s="276" t="s">
        <v>304</v>
      </c>
      <c r="AD66" s="276">
        <v>12426.91330627442</v>
      </c>
      <c r="AE66" s="276">
        <v>0</v>
      </c>
      <c r="AF66" s="276">
        <v>0</v>
      </c>
      <c r="AG66" s="213">
        <v>0.86</v>
      </c>
      <c r="AH66" s="239"/>
      <c r="AI66" s="273">
        <v>9</v>
      </c>
      <c r="AJ66" s="275">
        <v>27.960554939117443</v>
      </c>
      <c r="AK66" s="275">
        <v>9.6999999999999993</v>
      </c>
      <c r="AL66" s="275">
        <v>30.2</v>
      </c>
      <c r="AM66" s="275">
        <v>0</v>
      </c>
      <c r="AN66" s="275">
        <v>0</v>
      </c>
      <c r="AO66" s="275">
        <v>0</v>
      </c>
      <c r="AP66" s="275">
        <v>0</v>
      </c>
      <c r="AQ66" s="214">
        <v>0.80611299999999997</v>
      </c>
      <c r="AR66" s="417"/>
      <c r="AS66" s="352" t="s">
        <v>177</v>
      </c>
      <c r="AT66" s="353" t="s">
        <v>173</v>
      </c>
      <c r="AU66" s="353" t="s">
        <v>170</v>
      </c>
      <c r="AV66" s="353" t="s">
        <v>246</v>
      </c>
      <c r="AW66" s="354" t="s">
        <v>247</v>
      </c>
      <c r="AX66" s="353">
        <v>0.5</v>
      </c>
      <c r="AY66" s="353">
        <v>0.5</v>
      </c>
      <c r="AZ66" s="353">
        <v>0.5</v>
      </c>
      <c r="BA66" s="353">
        <v>0.5</v>
      </c>
      <c r="BB66" s="353">
        <v>0.5</v>
      </c>
      <c r="BC66" s="332">
        <v>1.41</v>
      </c>
      <c r="BD66" s="333">
        <v>1.41</v>
      </c>
      <c r="BE66" s="333">
        <v>1.05</v>
      </c>
      <c r="BF66" s="333">
        <v>1.05</v>
      </c>
      <c r="BG66" s="333">
        <v>0.86</v>
      </c>
      <c r="BH66" s="423" t="s">
        <v>346</v>
      </c>
      <c r="BI66" s="422"/>
      <c r="BJ66" s="334"/>
      <c r="BK66" s="422"/>
      <c r="BL66" s="434">
        <f t="shared" si="0"/>
        <v>0.86</v>
      </c>
    </row>
    <row r="67" spans="1:64" s="344" customFormat="1" ht="20.05" customHeight="1" x14ac:dyDescent="0.6">
      <c r="B67" s="357"/>
      <c r="E67" s="357"/>
      <c r="G67" s="254" t="s">
        <v>107</v>
      </c>
      <c r="H67" s="259" t="s">
        <v>113</v>
      </c>
      <c r="I67" s="259" t="s">
        <v>136</v>
      </c>
      <c r="J67" s="255">
        <v>3.5999999999999996</v>
      </c>
      <c r="K67" s="255">
        <v>0.7</v>
      </c>
      <c r="L67" s="255">
        <v>0.7</v>
      </c>
      <c r="M67" s="257">
        <v>5143.603219299318</v>
      </c>
      <c r="N67" s="257">
        <v>0</v>
      </c>
      <c r="O67" s="257">
        <v>0</v>
      </c>
      <c r="P67" s="257" t="s">
        <v>170</v>
      </c>
      <c r="Q67" s="257">
        <f>IF(P67="","",VLOOKUP(P67,'Listen und Kennwerte'!$B$4:$O$11,2,FALSE))</f>
        <v>28</v>
      </c>
      <c r="R67" s="257">
        <f>IF(P67="","",VLOOKUP(P67,'Listen und Kennwerte'!$B$4:$O$11,2,FALSE))</f>
        <v>28</v>
      </c>
      <c r="S67" s="260">
        <f>IF(P67="","",VLOOKUP(P67,'Listen und Kennwerte'!$B$4:$O$11,8,FALSE))</f>
        <v>12600</v>
      </c>
      <c r="T67" s="260">
        <f>IF(P67="","",VLOOKUP(P67,'Listen und Kennwerte'!$B$4:$O$11,9,FALSE))</f>
        <v>10500</v>
      </c>
      <c r="U67" s="260">
        <f>IF(P67="","",VLOOKUP(P67,'Listen und Kennwerte'!$B$4:$O$11,12,FALSE))</f>
        <v>540</v>
      </c>
      <c r="V67" s="255">
        <v>0.6</v>
      </c>
      <c r="W67" s="256">
        <v>1.3</v>
      </c>
      <c r="X67" s="230"/>
      <c r="Y67" s="264">
        <v>17.82</v>
      </c>
      <c r="Z67" s="263">
        <v>0.28999999999999998</v>
      </c>
      <c r="AA67" s="263">
        <v>1</v>
      </c>
      <c r="AB67" s="263">
        <v>1</v>
      </c>
      <c r="AC67" s="265" t="s">
        <v>348</v>
      </c>
      <c r="AD67" s="265">
        <v>10497.149427141467</v>
      </c>
      <c r="AE67" s="265">
        <v>0</v>
      </c>
      <c r="AF67" s="265">
        <v>0</v>
      </c>
      <c r="AG67" s="208">
        <v>0.66</v>
      </c>
      <c r="AH67" s="239"/>
      <c r="AI67" s="262">
        <v>9</v>
      </c>
      <c r="AJ67" s="264">
        <v>46.292428973693859</v>
      </c>
      <c r="AK67" s="264">
        <v>9.3000000000000007</v>
      </c>
      <c r="AL67" s="264">
        <v>47.96</v>
      </c>
      <c r="AM67" s="264">
        <v>0</v>
      </c>
      <c r="AN67" s="264">
        <v>0</v>
      </c>
      <c r="AO67" s="264">
        <v>0</v>
      </c>
      <c r="AP67" s="264">
        <v>0</v>
      </c>
      <c r="AQ67" s="209">
        <v>0.72471699999999994</v>
      </c>
      <c r="AR67" s="417"/>
      <c r="AS67" s="349" t="s">
        <v>170</v>
      </c>
      <c r="AT67" s="350" t="s">
        <v>173</v>
      </c>
      <c r="AU67" s="350" t="s">
        <v>170</v>
      </c>
      <c r="AV67" s="350" t="s">
        <v>173</v>
      </c>
      <c r="AW67" s="351" t="s">
        <v>170</v>
      </c>
      <c r="AX67" s="350">
        <v>0.7</v>
      </c>
      <c r="AY67" s="350">
        <v>0.7</v>
      </c>
      <c r="AZ67" s="350">
        <v>0.7</v>
      </c>
      <c r="BA67" s="350">
        <v>0.7</v>
      </c>
      <c r="BB67" s="350">
        <v>0.7</v>
      </c>
      <c r="BC67" s="329">
        <v>0.73</v>
      </c>
      <c r="BD67" s="330">
        <v>0.98</v>
      </c>
      <c r="BE67" s="330">
        <v>0.73</v>
      </c>
      <c r="BF67" s="330">
        <v>0.98</v>
      </c>
      <c r="BG67" s="330">
        <v>0.73</v>
      </c>
      <c r="BH67" s="418" t="s">
        <v>347</v>
      </c>
      <c r="BI67" s="422"/>
      <c r="BJ67" s="331"/>
      <c r="BK67" s="422"/>
      <c r="BL67" s="434">
        <f t="shared" si="0"/>
        <v>0.72471699999999994</v>
      </c>
    </row>
    <row r="68" spans="1:64" s="344" customFormat="1" ht="20.05" customHeight="1" x14ac:dyDescent="0.6">
      <c r="B68" s="357"/>
      <c r="E68" s="357"/>
      <c r="G68" s="267" t="s">
        <v>108</v>
      </c>
      <c r="H68" s="270" t="s">
        <v>113</v>
      </c>
      <c r="I68" s="270" t="s">
        <v>136</v>
      </c>
      <c r="J68" s="241">
        <v>3.5999999999999996</v>
      </c>
      <c r="K68" s="241">
        <v>0.7</v>
      </c>
      <c r="L68" s="241">
        <v>0.7</v>
      </c>
      <c r="M68" s="268">
        <v>5266.241553955083</v>
      </c>
      <c r="N68" s="268">
        <v>0</v>
      </c>
      <c r="O68" s="268">
        <v>0</v>
      </c>
      <c r="P68" s="268" t="s">
        <v>170</v>
      </c>
      <c r="Q68" s="268">
        <f>IF(P68="","",VLOOKUP(P68,'Listen und Kennwerte'!$B$4:$O$11,2,FALSE))</f>
        <v>28</v>
      </c>
      <c r="R68" s="268">
        <f>IF(P68="","",VLOOKUP(P68,'Listen und Kennwerte'!$B$4:$O$11,2,FALSE))</f>
        <v>28</v>
      </c>
      <c r="S68" s="271">
        <f>IF(P68="","",VLOOKUP(P68,'Listen und Kennwerte'!$B$4:$O$11,8,FALSE))</f>
        <v>12600</v>
      </c>
      <c r="T68" s="271">
        <f>IF(P68="","",VLOOKUP(P68,'Listen und Kennwerte'!$B$4:$O$11,9,FALSE))</f>
        <v>10500</v>
      </c>
      <c r="U68" s="271">
        <f>IF(P68="","",VLOOKUP(P68,'Listen und Kennwerte'!$B$4:$O$11,12,FALSE))</f>
        <v>540</v>
      </c>
      <c r="V68" s="241">
        <v>0.6</v>
      </c>
      <c r="W68" s="242">
        <v>1.3</v>
      </c>
      <c r="X68" s="230"/>
      <c r="Y68" s="275">
        <v>17.82</v>
      </c>
      <c r="Z68" s="274">
        <v>0.28999999999999998</v>
      </c>
      <c r="AA68" s="274">
        <v>1</v>
      </c>
      <c r="AB68" s="274">
        <v>1</v>
      </c>
      <c r="AC68" s="276" t="s">
        <v>348</v>
      </c>
      <c r="AD68" s="276">
        <v>10747.431742765477</v>
      </c>
      <c r="AE68" s="276">
        <v>0</v>
      </c>
      <c r="AF68" s="276">
        <v>0</v>
      </c>
      <c r="AG68" s="213">
        <v>0.69</v>
      </c>
      <c r="AH68" s="239"/>
      <c r="AI68" s="273">
        <v>9</v>
      </c>
      <c r="AJ68" s="275">
        <v>47.396173985595745</v>
      </c>
      <c r="AK68" s="275">
        <v>9.3000000000000007</v>
      </c>
      <c r="AL68" s="275">
        <v>49.15</v>
      </c>
      <c r="AM68" s="275">
        <v>0</v>
      </c>
      <c r="AN68" s="275">
        <v>0</v>
      </c>
      <c r="AO68" s="275">
        <v>0</v>
      </c>
      <c r="AP68" s="275">
        <v>0</v>
      </c>
      <c r="AQ68" s="214">
        <v>0.75816600000000001</v>
      </c>
      <c r="AR68" s="417"/>
      <c r="AS68" s="352" t="s">
        <v>170</v>
      </c>
      <c r="AT68" s="353" t="s">
        <v>173</v>
      </c>
      <c r="AU68" s="353" t="s">
        <v>170</v>
      </c>
      <c r="AV68" s="353" t="s">
        <v>173</v>
      </c>
      <c r="AW68" s="354" t="s">
        <v>170</v>
      </c>
      <c r="AX68" s="353">
        <v>0.7</v>
      </c>
      <c r="AY68" s="353">
        <v>0.7</v>
      </c>
      <c r="AZ68" s="353">
        <v>0.7</v>
      </c>
      <c r="BA68" s="353">
        <v>0.7</v>
      </c>
      <c r="BB68" s="353">
        <v>0.7</v>
      </c>
      <c r="BC68" s="332">
        <v>0.77</v>
      </c>
      <c r="BD68" s="333">
        <v>1.03</v>
      </c>
      <c r="BE68" s="333">
        <v>0.77</v>
      </c>
      <c r="BF68" s="333">
        <v>1.03</v>
      </c>
      <c r="BG68" s="333">
        <v>0.77</v>
      </c>
      <c r="BH68" s="423" t="s">
        <v>347</v>
      </c>
      <c r="BI68" s="422"/>
      <c r="BJ68" s="334"/>
      <c r="BK68" s="422"/>
      <c r="BL68" s="434">
        <f t="shared" si="0"/>
        <v>0.75816600000000001</v>
      </c>
    </row>
    <row r="69" spans="1:64" s="344" customFormat="1" ht="20.05" customHeight="1" x14ac:dyDescent="0.6">
      <c r="B69" s="357"/>
      <c r="E69" s="357"/>
      <c r="G69" s="254" t="s">
        <v>109</v>
      </c>
      <c r="H69" s="259" t="s">
        <v>113</v>
      </c>
      <c r="I69" s="259" t="s">
        <v>136</v>
      </c>
      <c r="J69" s="255">
        <v>3.5999999999999996</v>
      </c>
      <c r="K69" s="255">
        <v>0.7</v>
      </c>
      <c r="L69" s="255">
        <v>0.7</v>
      </c>
      <c r="M69" s="257">
        <v>5522.7031073913577</v>
      </c>
      <c r="N69" s="257">
        <v>0</v>
      </c>
      <c r="O69" s="257">
        <v>0</v>
      </c>
      <c r="P69" s="257" t="s">
        <v>246</v>
      </c>
      <c r="Q69" s="257">
        <f>IF(P69="","",VLOOKUP(P69,'Listen und Kennwerte'!$B$4:$O$11,2,FALSE))</f>
        <v>28</v>
      </c>
      <c r="R69" s="257">
        <f>IF(P69="","",VLOOKUP(P69,'Listen und Kennwerte'!$B$4:$O$11,2,FALSE))</f>
        <v>28</v>
      </c>
      <c r="S69" s="260">
        <f>IF(P69="","",VLOOKUP(P69,'Listen und Kennwerte'!$B$4:$O$11,8,FALSE))</f>
        <v>12500</v>
      </c>
      <c r="T69" s="260">
        <f>IF(P69="","",VLOOKUP(P69,'Listen und Kennwerte'!$B$4:$O$11,9,FALSE))</f>
        <v>10400</v>
      </c>
      <c r="U69" s="260">
        <f>IF(P69="","",VLOOKUP(P69,'Listen und Kennwerte'!$B$4:$O$11,12,FALSE))</f>
        <v>540</v>
      </c>
      <c r="V69" s="255">
        <v>0.6</v>
      </c>
      <c r="W69" s="256">
        <v>1.3</v>
      </c>
      <c r="X69" s="230"/>
      <c r="Y69" s="264">
        <v>17.82</v>
      </c>
      <c r="Z69" s="263">
        <v>0.28999999999999998</v>
      </c>
      <c r="AA69" s="263">
        <v>1</v>
      </c>
      <c r="AB69" s="263">
        <v>1</v>
      </c>
      <c r="AC69" s="265" t="s">
        <v>348</v>
      </c>
      <c r="AD69" s="265">
        <v>11270.822668145629</v>
      </c>
      <c r="AE69" s="265">
        <v>0</v>
      </c>
      <c r="AF69" s="265">
        <v>0</v>
      </c>
      <c r="AG69" s="208">
        <v>0.76</v>
      </c>
      <c r="AH69" s="239"/>
      <c r="AI69" s="262">
        <v>9</v>
      </c>
      <c r="AJ69" s="264">
        <v>49.704327966522214</v>
      </c>
      <c r="AK69" s="264">
        <v>9.3000000000000007</v>
      </c>
      <c r="AL69" s="264">
        <v>51.64</v>
      </c>
      <c r="AM69" s="264">
        <v>0</v>
      </c>
      <c r="AN69" s="264">
        <v>0</v>
      </c>
      <c r="AO69" s="264">
        <v>0</v>
      </c>
      <c r="AP69" s="264">
        <v>0</v>
      </c>
      <c r="AQ69" s="209">
        <v>0.83053999999999994</v>
      </c>
      <c r="AR69" s="417"/>
      <c r="AS69" s="349" t="s">
        <v>247</v>
      </c>
      <c r="AT69" s="350" t="s">
        <v>247</v>
      </c>
      <c r="AU69" s="350" t="s">
        <v>247</v>
      </c>
      <c r="AV69" s="350" t="s">
        <v>246</v>
      </c>
      <c r="AW69" s="351"/>
      <c r="AX69" s="350">
        <v>0.5</v>
      </c>
      <c r="AY69" s="350">
        <v>0.6</v>
      </c>
      <c r="AZ69" s="350">
        <v>0.7</v>
      </c>
      <c r="BA69" s="350">
        <v>0.7</v>
      </c>
      <c r="BB69" s="350"/>
      <c r="BC69" s="329">
        <v>2.44</v>
      </c>
      <c r="BD69" s="330">
        <v>1.19</v>
      </c>
      <c r="BE69" s="330">
        <v>0.65</v>
      </c>
      <c r="BF69" s="330">
        <v>0.84</v>
      </c>
      <c r="BG69" s="330"/>
      <c r="BH69" s="418" t="s">
        <v>346</v>
      </c>
      <c r="BI69" s="422"/>
      <c r="BJ69" s="331"/>
      <c r="BK69" s="422"/>
      <c r="BL69" s="434">
        <f t="shared" si="0"/>
        <v>0.83053999999999994</v>
      </c>
    </row>
    <row r="70" spans="1:64" s="344" customFormat="1" ht="20.05" customHeight="1" x14ac:dyDescent="0.6">
      <c r="B70" s="357"/>
      <c r="E70" s="357"/>
      <c r="G70" s="267" t="s">
        <v>110</v>
      </c>
      <c r="H70" s="270" t="s">
        <v>113</v>
      </c>
      <c r="I70" s="270" t="s">
        <v>136</v>
      </c>
      <c r="J70" s="241">
        <v>3.5999999999999996</v>
      </c>
      <c r="K70" s="241">
        <v>0.6</v>
      </c>
      <c r="L70" s="241">
        <v>0.6</v>
      </c>
      <c r="M70" s="268">
        <v>3646.1505376739524</v>
      </c>
      <c r="N70" s="268">
        <v>0</v>
      </c>
      <c r="O70" s="268">
        <v>0</v>
      </c>
      <c r="P70" s="268" t="s">
        <v>173</v>
      </c>
      <c r="Q70" s="268">
        <f>IF(P70="","",VLOOKUP(P70,'Listen und Kennwerte'!$B$4:$O$11,2,FALSE))</f>
        <v>24</v>
      </c>
      <c r="R70" s="268">
        <f>IF(P70="","",VLOOKUP(P70,'Listen und Kennwerte'!$B$4:$O$11,2,FALSE))</f>
        <v>24</v>
      </c>
      <c r="S70" s="271">
        <f>IF(P70="","",VLOOKUP(P70,'Listen und Kennwerte'!$B$4:$O$11,8,FALSE))</f>
        <v>11000</v>
      </c>
      <c r="T70" s="271">
        <f>IF(P70="","",VLOOKUP(P70,'Listen und Kennwerte'!$B$4:$O$11,9,FALSE))</f>
        <v>9100</v>
      </c>
      <c r="U70" s="271">
        <f>IF(P70="","",VLOOKUP(P70,'Listen und Kennwerte'!$B$4:$O$11,12,FALSE))</f>
        <v>540</v>
      </c>
      <c r="V70" s="241">
        <v>0.6</v>
      </c>
      <c r="W70" s="242">
        <v>1.3</v>
      </c>
      <c r="X70" s="230"/>
      <c r="Y70" s="275">
        <v>20.78</v>
      </c>
      <c r="Z70" s="274">
        <v>0.34</v>
      </c>
      <c r="AA70" s="274">
        <v>1</v>
      </c>
      <c r="AB70" s="274">
        <v>1</v>
      </c>
      <c r="AC70" s="276" t="s">
        <v>304</v>
      </c>
      <c r="AD70" s="276">
        <v>10128.195937983201</v>
      </c>
      <c r="AE70" s="276">
        <v>0</v>
      </c>
      <c r="AF70" s="276">
        <v>0</v>
      </c>
      <c r="AG70" s="213">
        <v>0.91</v>
      </c>
      <c r="AH70" s="239"/>
      <c r="AI70" s="273">
        <v>9</v>
      </c>
      <c r="AJ70" s="275">
        <v>32.81535483906557</v>
      </c>
      <c r="AK70" s="275">
        <v>9.5</v>
      </c>
      <c r="AL70" s="275">
        <v>34.630000000000003</v>
      </c>
      <c r="AM70" s="275">
        <v>0</v>
      </c>
      <c r="AN70" s="275">
        <v>0</v>
      </c>
      <c r="AO70" s="275">
        <v>0</v>
      </c>
      <c r="AP70" s="275">
        <v>0</v>
      </c>
      <c r="AQ70" s="214">
        <v>0.92288000000000003</v>
      </c>
      <c r="AR70" s="417"/>
      <c r="AS70" s="352" t="s">
        <v>173</v>
      </c>
      <c r="AT70" s="353" t="s">
        <v>170</v>
      </c>
      <c r="AU70" s="353" t="s">
        <v>173</v>
      </c>
      <c r="AV70" s="353" t="s">
        <v>170</v>
      </c>
      <c r="AW70" s="354" t="s">
        <v>173</v>
      </c>
      <c r="AX70" s="353">
        <v>0.6</v>
      </c>
      <c r="AY70" s="353">
        <v>0.6</v>
      </c>
      <c r="AZ70" s="353">
        <v>0.6</v>
      </c>
      <c r="BA70" s="353">
        <v>0.6</v>
      </c>
      <c r="BB70" s="353">
        <v>0.6</v>
      </c>
      <c r="BC70" s="332">
        <v>0.93</v>
      </c>
      <c r="BD70" s="333">
        <v>0.78</v>
      </c>
      <c r="BE70" s="333">
        <v>0.93</v>
      </c>
      <c r="BF70" s="333">
        <v>0.78</v>
      </c>
      <c r="BG70" s="333">
        <v>0.93</v>
      </c>
      <c r="BH70" s="423" t="s">
        <v>347</v>
      </c>
      <c r="BI70" s="422"/>
      <c r="BJ70" s="334"/>
      <c r="BK70" s="422"/>
      <c r="BL70" s="434">
        <f t="shared" si="0"/>
        <v>0.92288000000000003</v>
      </c>
    </row>
    <row r="71" spans="1:64" s="344" customFormat="1" ht="20.05" customHeight="1" x14ac:dyDescent="0.6">
      <c r="B71" s="357"/>
      <c r="E71" s="357"/>
      <c r="G71" s="254" t="s">
        <v>111</v>
      </c>
      <c r="H71" s="259" t="s">
        <v>113</v>
      </c>
      <c r="I71" s="259" t="s">
        <v>136</v>
      </c>
      <c r="J71" s="255">
        <v>3.5999999999999996</v>
      </c>
      <c r="K71" s="255">
        <v>0.6</v>
      </c>
      <c r="L71" s="255">
        <v>0.6</v>
      </c>
      <c r="M71" s="257">
        <v>3942.2768030548109</v>
      </c>
      <c r="N71" s="257">
        <v>0</v>
      </c>
      <c r="O71" s="257">
        <v>0</v>
      </c>
      <c r="P71" s="257" t="s">
        <v>246</v>
      </c>
      <c r="Q71" s="257">
        <f>IF(P71="","",VLOOKUP(P71,'Listen und Kennwerte'!$B$4:$O$11,2,FALSE))</f>
        <v>28</v>
      </c>
      <c r="R71" s="257">
        <f>IF(P71="","",VLOOKUP(P71,'Listen und Kennwerte'!$B$4:$O$11,2,FALSE))</f>
        <v>28</v>
      </c>
      <c r="S71" s="260">
        <f>IF(P71="","",VLOOKUP(P71,'Listen und Kennwerte'!$B$4:$O$11,8,FALSE))</f>
        <v>12500</v>
      </c>
      <c r="T71" s="260">
        <f>IF(P71="","",VLOOKUP(P71,'Listen und Kennwerte'!$B$4:$O$11,9,FALSE))</f>
        <v>10400</v>
      </c>
      <c r="U71" s="260">
        <f>IF(P71="","",VLOOKUP(P71,'Listen und Kennwerte'!$B$4:$O$11,12,FALSE))</f>
        <v>540</v>
      </c>
      <c r="V71" s="255">
        <v>0.6</v>
      </c>
      <c r="W71" s="256">
        <v>1.3</v>
      </c>
      <c r="X71" s="230"/>
      <c r="Y71" s="264">
        <v>20.78</v>
      </c>
      <c r="Z71" s="263">
        <v>0.34</v>
      </c>
      <c r="AA71" s="263">
        <v>1</v>
      </c>
      <c r="AB71" s="263">
        <v>1</v>
      </c>
      <c r="AC71" s="265" t="s">
        <v>304</v>
      </c>
      <c r="AD71" s="265">
        <v>10950.768897374475</v>
      </c>
      <c r="AE71" s="265">
        <v>0</v>
      </c>
      <c r="AF71" s="265">
        <v>0</v>
      </c>
      <c r="AG71" s="208">
        <v>0.85</v>
      </c>
      <c r="AH71" s="239"/>
      <c r="AI71" s="262">
        <v>9</v>
      </c>
      <c r="AJ71" s="264">
        <v>35.480491227493296</v>
      </c>
      <c r="AK71" s="264">
        <v>9.4</v>
      </c>
      <c r="AL71" s="264">
        <v>37.340000000000003</v>
      </c>
      <c r="AM71" s="264">
        <v>0</v>
      </c>
      <c r="AN71" s="264">
        <v>0</v>
      </c>
      <c r="AO71" s="264">
        <v>0</v>
      </c>
      <c r="AP71" s="264">
        <v>0</v>
      </c>
      <c r="AQ71" s="209">
        <v>0.79831600000000003</v>
      </c>
      <c r="AR71" s="417"/>
      <c r="AS71" s="349" t="s">
        <v>247</v>
      </c>
      <c r="AT71" s="350" t="s">
        <v>247</v>
      </c>
      <c r="AU71" s="350" t="s">
        <v>246</v>
      </c>
      <c r="AV71" s="350" t="s">
        <v>246</v>
      </c>
      <c r="AW71" s="351" t="s">
        <v>247</v>
      </c>
      <c r="AX71" s="350">
        <v>0.5</v>
      </c>
      <c r="AY71" s="350">
        <v>0.6</v>
      </c>
      <c r="AZ71" s="350">
        <v>0.6</v>
      </c>
      <c r="BA71" s="350">
        <v>0.5</v>
      </c>
      <c r="BB71" s="350">
        <v>0.5</v>
      </c>
      <c r="BC71" s="329">
        <v>1.28</v>
      </c>
      <c r="BD71" s="330">
        <v>0.75</v>
      </c>
      <c r="BE71" s="330">
        <v>0.85</v>
      </c>
      <c r="BF71" s="330">
        <v>1.65</v>
      </c>
      <c r="BG71" s="330">
        <v>1.28</v>
      </c>
      <c r="BH71" s="418" t="s">
        <v>346</v>
      </c>
      <c r="BI71" s="422"/>
      <c r="BJ71" s="331"/>
      <c r="BK71" s="422"/>
      <c r="BL71" s="434">
        <f t="shared" si="0"/>
        <v>0.85</v>
      </c>
    </row>
    <row r="72" spans="1:64" s="344" customFormat="1" ht="20.05" customHeight="1" x14ac:dyDescent="0.6">
      <c r="B72" s="357"/>
      <c r="E72" s="357"/>
      <c r="G72" s="358" t="s">
        <v>112</v>
      </c>
      <c r="H72" s="359" t="s">
        <v>113</v>
      </c>
      <c r="I72" s="359" t="s">
        <v>136</v>
      </c>
      <c r="J72" s="360">
        <v>11.9</v>
      </c>
      <c r="K72" s="360">
        <v>0.8</v>
      </c>
      <c r="L72" s="360">
        <v>0.8</v>
      </c>
      <c r="M72" s="361">
        <v>6794.6044771075085</v>
      </c>
      <c r="N72" s="361">
        <v>0</v>
      </c>
      <c r="O72" s="361">
        <v>0</v>
      </c>
      <c r="P72" s="268" t="s">
        <v>247</v>
      </c>
      <c r="Q72" s="361">
        <f>IF(P72="","",VLOOKUP(P72,'Listen und Kennwerte'!$B$4:$O$11,2,FALSE))</f>
        <v>32</v>
      </c>
      <c r="R72" s="361">
        <f>IF(P72="","",VLOOKUP(P72,'Listen und Kennwerte'!$B$4:$O$11,2,FALSE))</f>
        <v>32</v>
      </c>
      <c r="S72" s="362">
        <f>IF(P72="","",VLOOKUP(P72,'Listen und Kennwerte'!$B$4:$O$11,8,FALSE))</f>
        <v>13700</v>
      </c>
      <c r="T72" s="362">
        <f>IF(P72="","",VLOOKUP(P72,'Listen und Kennwerte'!$B$4:$O$11,9,FALSE))</f>
        <v>11100</v>
      </c>
      <c r="U72" s="362">
        <f>IF(P72="","",VLOOKUP(P72,'Listen und Kennwerte'!$B$4:$O$11,12,FALSE))</f>
        <v>566.66666666666663</v>
      </c>
      <c r="V72" s="360">
        <v>0.6</v>
      </c>
      <c r="W72" s="363">
        <v>1.3</v>
      </c>
      <c r="X72" s="230"/>
      <c r="Y72" s="275">
        <v>51.53</v>
      </c>
      <c r="Z72" s="274">
        <v>0.88</v>
      </c>
      <c r="AA72" s="274">
        <v>0.85</v>
      </c>
      <c r="AB72" s="274">
        <v>1</v>
      </c>
      <c r="AC72" s="276" t="s">
        <v>304</v>
      </c>
      <c r="AD72" s="276">
        <v>10616.56949548048</v>
      </c>
      <c r="AE72" s="276">
        <v>0</v>
      </c>
      <c r="AF72" s="276">
        <v>0</v>
      </c>
      <c r="AG72" s="213">
        <v>0.85</v>
      </c>
      <c r="AH72" s="239"/>
      <c r="AI72" s="273">
        <v>29.75</v>
      </c>
      <c r="AJ72" s="275">
        <v>202.13948319394837</v>
      </c>
      <c r="AK72" s="275">
        <v>40.85</v>
      </c>
      <c r="AL72" s="275">
        <v>277.18</v>
      </c>
      <c r="AM72" s="275">
        <v>0</v>
      </c>
      <c r="AN72" s="275">
        <v>0</v>
      </c>
      <c r="AO72" s="275">
        <v>0</v>
      </c>
      <c r="AP72" s="275">
        <v>0</v>
      </c>
      <c r="AQ72" s="214">
        <v>0.73664700000000005</v>
      </c>
      <c r="AR72" s="417"/>
      <c r="AS72" s="352" t="s">
        <v>247</v>
      </c>
      <c r="AT72" s="353" t="s">
        <v>247</v>
      </c>
      <c r="AU72" s="353" t="s">
        <v>247</v>
      </c>
      <c r="AV72" s="353" t="s">
        <v>247</v>
      </c>
      <c r="AW72" s="354" t="s">
        <v>247</v>
      </c>
      <c r="AX72" s="353">
        <v>0.5</v>
      </c>
      <c r="AY72" s="353">
        <v>0.6</v>
      </c>
      <c r="AZ72" s="353">
        <v>0.7</v>
      </c>
      <c r="BA72" s="353">
        <v>0.8</v>
      </c>
      <c r="BB72" s="364">
        <v>0.5</v>
      </c>
      <c r="BC72" s="335">
        <v>29.33</v>
      </c>
      <c r="BD72" s="336">
        <v>3.25</v>
      </c>
      <c r="BE72" s="336">
        <v>1.33</v>
      </c>
      <c r="BF72" s="336">
        <v>0.85</v>
      </c>
      <c r="BG72" s="336">
        <v>29.33</v>
      </c>
      <c r="BH72" s="414" t="s">
        <v>346</v>
      </c>
      <c r="BI72" s="422"/>
      <c r="BJ72" s="337"/>
      <c r="BK72" s="422"/>
      <c r="BL72" s="434">
        <f t="shared" si="0"/>
        <v>0.85</v>
      </c>
    </row>
    <row r="73" spans="1:64" s="344" customFormat="1" ht="10" customHeight="1" x14ac:dyDescent="0.6">
      <c r="B73" s="357"/>
      <c r="E73" s="357"/>
      <c r="G73" s="365"/>
      <c r="H73" s="365"/>
      <c r="I73" s="365"/>
      <c r="J73" s="365"/>
      <c r="K73" s="365"/>
      <c r="L73" s="365"/>
      <c r="M73" s="365"/>
      <c r="N73" s="365"/>
      <c r="O73" s="365"/>
      <c r="P73" s="366"/>
      <c r="Q73" s="367"/>
      <c r="R73" s="367"/>
      <c r="S73" s="365"/>
      <c r="T73" s="368"/>
      <c r="U73" s="368"/>
      <c r="V73" s="365"/>
      <c r="W73" s="365"/>
      <c r="Y73" s="251"/>
      <c r="Z73" s="250"/>
      <c r="AA73" s="250"/>
      <c r="AB73" s="250"/>
      <c r="AC73" s="327"/>
      <c r="AD73" s="252"/>
      <c r="AE73" s="252"/>
      <c r="AF73" s="252"/>
      <c r="AG73" s="252"/>
      <c r="AI73" s="251"/>
      <c r="AJ73" s="251"/>
      <c r="AK73" s="251"/>
      <c r="AL73" s="251"/>
      <c r="AM73" s="251"/>
      <c r="AN73" s="251"/>
      <c r="AO73" s="251"/>
      <c r="AP73" s="251"/>
      <c r="AQ73" s="327"/>
      <c r="AR73" s="406"/>
      <c r="AS73" s="411"/>
      <c r="AT73" s="411"/>
      <c r="AU73" s="411"/>
      <c r="AV73" s="411"/>
      <c r="AW73" s="411"/>
      <c r="AX73" s="411"/>
      <c r="AY73" s="411"/>
      <c r="AZ73" s="411"/>
      <c r="BA73" s="411"/>
      <c r="BB73" s="369"/>
      <c r="BC73" s="369"/>
      <c r="BD73" s="369"/>
      <c r="BE73" s="369"/>
      <c r="BF73" s="369"/>
      <c r="BG73" s="369"/>
      <c r="BH73" s="369"/>
      <c r="BL73" s="402"/>
    </row>
    <row r="74" spans="1:64" s="344" customFormat="1" ht="20.05" hidden="1" customHeight="1" x14ac:dyDescent="0.6">
      <c r="B74" s="357"/>
      <c r="E74" s="357"/>
      <c r="G74" s="365"/>
      <c r="H74" s="365"/>
      <c r="I74" s="365"/>
      <c r="J74" s="365"/>
      <c r="K74" s="365"/>
      <c r="L74" s="365"/>
      <c r="M74" s="365"/>
      <c r="N74" s="365"/>
      <c r="O74" s="365"/>
      <c r="P74" s="366"/>
      <c r="Q74" s="367"/>
      <c r="R74" s="367"/>
      <c r="S74" s="365"/>
      <c r="T74" s="368"/>
      <c r="U74" s="368"/>
      <c r="V74" s="365"/>
      <c r="W74" s="365"/>
      <c r="Y74" s="275"/>
      <c r="Z74" s="274"/>
      <c r="AA74" s="274"/>
      <c r="AB74" s="274"/>
      <c r="AC74" s="333"/>
      <c r="AD74" s="276"/>
      <c r="AE74" s="276"/>
      <c r="AF74" s="276"/>
      <c r="AG74" s="276"/>
      <c r="AI74" s="275"/>
      <c r="AJ74" s="275"/>
      <c r="AK74" s="275"/>
      <c r="AL74" s="275"/>
      <c r="AM74" s="275"/>
      <c r="AN74" s="275"/>
      <c r="AO74" s="275"/>
      <c r="AP74" s="275"/>
      <c r="AQ74" s="333"/>
      <c r="AR74" s="406"/>
      <c r="AS74" s="404"/>
      <c r="AT74" s="404"/>
      <c r="AU74" s="404"/>
      <c r="AV74" s="404"/>
      <c r="AW74" s="404"/>
      <c r="AX74" s="404"/>
      <c r="AY74" s="404"/>
      <c r="AZ74" s="404"/>
      <c r="BA74" s="404"/>
      <c r="BB74" s="369"/>
      <c r="BC74" s="369"/>
      <c r="BD74" s="369"/>
      <c r="BE74" s="369"/>
      <c r="BF74" s="369"/>
      <c r="BG74" s="369"/>
      <c r="BH74" s="369"/>
      <c r="BL74" s="402"/>
    </row>
    <row r="75" spans="1:64" s="344" customFormat="1" ht="20.05" hidden="1" customHeight="1" x14ac:dyDescent="0.6">
      <c r="B75" s="357"/>
      <c r="E75" s="357"/>
      <c r="G75" s="365"/>
      <c r="H75" s="365"/>
      <c r="I75" s="365"/>
      <c r="J75" s="365"/>
      <c r="K75" s="365"/>
      <c r="L75" s="365"/>
      <c r="M75" s="365"/>
      <c r="N75" s="365"/>
      <c r="O75" s="365"/>
      <c r="P75" s="366"/>
      <c r="Q75" s="367"/>
      <c r="R75" s="367"/>
      <c r="S75" s="365"/>
      <c r="T75" s="368"/>
      <c r="U75" s="368"/>
      <c r="V75" s="365"/>
      <c r="W75" s="365"/>
      <c r="Y75" s="275"/>
      <c r="Z75" s="274"/>
      <c r="AA75" s="274"/>
      <c r="AB75" s="274"/>
      <c r="AC75" s="333"/>
      <c r="AD75" s="276"/>
      <c r="AE75" s="276"/>
      <c r="AF75" s="276"/>
      <c r="AG75" s="276"/>
      <c r="AI75" s="275"/>
      <c r="AJ75" s="275"/>
      <c r="AK75" s="275"/>
      <c r="AL75" s="275"/>
      <c r="AM75" s="275"/>
      <c r="AN75" s="275"/>
      <c r="AO75" s="275"/>
      <c r="AP75" s="275"/>
      <c r="AQ75" s="333"/>
      <c r="AR75" s="406"/>
      <c r="AS75" s="404"/>
      <c r="AT75" s="404"/>
      <c r="AU75" s="404"/>
      <c r="AV75" s="404"/>
      <c r="AW75" s="404"/>
      <c r="AX75" s="404"/>
      <c r="AY75" s="404"/>
      <c r="AZ75" s="404"/>
      <c r="BA75" s="404"/>
      <c r="BB75" s="369"/>
      <c r="BC75" s="369"/>
      <c r="BD75" s="369"/>
      <c r="BE75" s="369"/>
      <c r="BF75" s="369"/>
      <c r="BG75" s="369"/>
      <c r="BH75" s="369"/>
      <c r="BL75" s="402"/>
    </row>
    <row r="76" spans="1:64" s="344" customFormat="1" ht="20.05" hidden="1" customHeight="1" x14ac:dyDescent="0.6">
      <c r="B76" s="357"/>
      <c r="E76" s="357"/>
      <c r="G76" s="365"/>
      <c r="H76" s="365"/>
      <c r="I76" s="365"/>
      <c r="J76" s="365"/>
      <c r="K76" s="365"/>
      <c r="L76" s="365"/>
      <c r="M76" s="365"/>
      <c r="N76" s="365"/>
      <c r="O76" s="365"/>
      <c r="P76" s="366"/>
      <c r="Q76" s="367"/>
      <c r="R76" s="367"/>
      <c r="S76" s="365"/>
      <c r="T76" s="368"/>
      <c r="U76" s="368"/>
      <c r="V76" s="365"/>
      <c r="W76" s="365"/>
      <c r="Y76" s="275"/>
      <c r="Z76" s="274"/>
      <c r="AA76" s="274"/>
      <c r="AB76" s="274"/>
      <c r="AC76" s="333"/>
      <c r="AD76" s="276"/>
      <c r="AE76" s="276"/>
      <c r="AF76" s="276"/>
      <c r="AG76" s="276"/>
      <c r="AI76" s="275"/>
      <c r="AJ76" s="275"/>
      <c r="AK76" s="275"/>
      <c r="AL76" s="275"/>
      <c r="AM76" s="275"/>
      <c r="AN76" s="275"/>
      <c r="AO76" s="275"/>
      <c r="AP76" s="275"/>
      <c r="AQ76" s="333"/>
      <c r="AR76" s="406"/>
      <c r="AS76" s="404"/>
      <c r="AT76" s="404"/>
      <c r="AU76" s="404"/>
      <c r="AV76" s="404"/>
      <c r="AW76" s="404"/>
      <c r="AX76" s="404"/>
      <c r="AY76" s="404"/>
      <c r="AZ76" s="404"/>
      <c r="BA76" s="404"/>
      <c r="BB76" s="369"/>
      <c r="BC76" s="369"/>
      <c r="BD76" s="369"/>
      <c r="BE76" s="369"/>
      <c r="BF76" s="369"/>
      <c r="BG76" s="369"/>
      <c r="BH76" s="369"/>
      <c r="BL76" s="402"/>
    </row>
    <row r="77" spans="1:64" s="344" customFormat="1" ht="20.05" hidden="1" customHeight="1" x14ac:dyDescent="0.6">
      <c r="B77" s="357"/>
      <c r="E77" s="357"/>
      <c r="G77" s="365"/>
      <c r="H77" s="365"/>
      <c r="I77" s="365"/>
      <c r="J77" s="365"/>
      <c r="K77" s="365"/>
      <c r="L77" s="365"/>
      <c r="M77" s="365"/>
      <c r="N77" s="365"/>
      <c r="O77" s="365"/>
      <c r="P77" s="366"/>
      <c r="Q77" s="367"/>
      <c r="R77" s="367"/>
      <c r="S77" s="365"/>
      <c r="T77" s="368"/>
      <c r="U77" s="368"/>
      <c r="V77" s="365"/>
      <c r="W77" s="365"/>
      <c r="Y77" s="275"/>
      <c r="Z77" s="274"/>
      <c r="AA77" s="274"/>
      <c r="AB77" s="274"/>
      <c r="AC77" s="333"/>
      <c r="AD77" s="276"/>
      <c r="AE77" s="276"/>
      <c r="AF77" s="276"/>
      <c r="AG77" s="276"/>
      <c r="AI77" s="347"/>
      <c r="AJ77" s="347"/>
      <c r="AK77" s="347"/>
      <c r="AL77" s="347"/>
      <c r="AM77" s="347"/>
      <c r="AN77" s="347"/>
      <c r="AO77" s="347"/>
      <c r="AP77" s="347"/>
      <c r="AQ77" s="333"/>
      <c r="AR77" s="406"/>
      <c r="AS77" s="404"/>
      <c r="AT77" s="404"/>
      <c r="AU77" s="404"/>
      <c r="AV77" s="404"/>
      <c r="AW77" s="404"/>
      <c r="AX77" s="404"/>
      <c r="AY77" s="404"/>
      <c r="AZ77" s="404"/>
      <c r="BA77" s="404"/>
      <c r="BB77" s="369"/>
      <c r="BC77" s="369"/>
      <c r="BD77" s="369"/>
      <c r="BE77" s="369"/>
      <c r="BF77" s="369"/>
      <c r="BG77" s="369"/>
      <c r="BH77" s="369"/>
      <c r="BL77" s="402"/>
    </row>
    <row r="78" spans="1:64" s="344" customFormat="1" ht="20.05" hidden="1" customHeight="1" x14ac:dyDescent="0.6">
      <c r="A78" s="371"/>
      <c r="B78" s="370"/>
      <c r="C78" s="371"/>
      <c r="D78" s="371"/>
      <c r="E78" s="370"/>
      <c r="F78" s="371"/>
      <c r="G78" s="365"/>
      <c r="H78" s="365"/>
      <c r="I78" s="365"/>
      <c r="J78" s="365"/>
      <c r="K78" s="365"/>
      <c r="L78" s="365"/>
      <c r="M78" s="365"/>
      <c r="N78" s="365"/>
      <c r="O78" s="365"/>
      <c r="P78" s="366"/>
      <c r="Q78" s="367"/>
      <c r="R78" s="367"/>
      <c r="S78" s="365"/>
      <c r="T78" s="368"/>
      <c r="U78" s="368"/>
      <c r="V78" s="365"/>
      <c r="W78" s="365"/>
      <c r="Y78" s="275"/>
      <c r="Z78" s="274"/>
      <c r="AA78" s="274"/>
      <c r="AB78" s="274"/>
      <c r="AC78" s="333"/>
      <c r="AD78" s="276"/>
      <c r="AE78" s="276"/>
      <c r="AF78" s="276"/>
      <c r="AG78" s="276"/>
      <c r="AI78" s="347"/>
      <c r="AJ78" s="347"/>
      <c r="AK78" s="347"/>
      <c r="AL78" s="347"/>
      <c r="AM78" s="347"/>
      <c r="AN78" s="347"/>
      <c r="AO78" s="347"/>
      <c r="AP78" s="347"/>
      <c r="AQ78" s="333"/>
      <c r="AR78" s="406"/>
      <c r="AS78" s="404"/>
      <c r="AT78" s="404"/>
      <c r="AU78" s="369"/>
      <c r="AV78" s="369"/>
      <c r="AW78" s="369"/>
      <c r="AX78" s="369"/>
      <c r="AY78" s="369"/>
      <c r="AZ78" s="369"/>
      <c r="BA78" s="369"/>
      <c r="BB78" s="369"/>
      <c r="BC78" s="369"/>
      <c r="BD78" s="369"/>
      <c r="BE78" s="369"/>
      <c r="BF78" s="369"/>
      <c r="BG78" s="369"/>
      <c r="BH78" s="369"/>
      <c r="BL78" s="402"/>
    </row>
    <row r="79" spans="1:64" hidden="1" x14ac:dyDescent="0.6">
      <c r="G79" s="372"/>
      <c r="H79" s="372"/>
      <c r="I79" s="372"/>
      <c r="J79" s="372"/>
      <c r="K79" s="372"/>
      <c r="L79" s="372"/>
      <c r="M79" s="372"/>
      <c r="N79" s="372"/>
      <c r="O79" s="372"/>
      <c r="P79" s="373"/>
      <c r="Q79" s="374"/>
      <c r="R79" s="374"/>
      <c r="S79" s="372"/>
      <c r="T79" s="375"/>
      <c r="U79" s="375"/>
      <c r="V79" s="372"/>
      <c r="W79" s="372"/>
      <c r="Y79" s="408"/>
      <c r="Z79" s="409"/>
      <c r="AA79" s="409"/>
      <c r="AB79" s="409"/>
      <c r="AC79" s="124"/>
      <c r="AD79" s="410"/>
      <c r="AE79" s="410"/>
      <c r="AF79" s="410"/>
      <c r="AG79" s="410"/>
      <c r="AI79" s="376"/>
      <c r="AJ79" s="376"/>
      <c r="AK79" s="376"/>
      <c r="AL79" s="376"/>
      <c r="AM79" s="376"/>
      <c r="AN79" s="376"/>
      <c r="AO79" s="376"/>
      <c r="AP79" s="376"/>
      <c r="AQ79" s="124"/>
      <c r="AR79" s="406"/>
      <c r="AS79" s="405"/>
      <c r="AT79" s="405"/>
    </row>
    <row r="80" spans="1:64" hidden="1" x14ac:dyDescent="0.6">
      <c r="G80" s="372"/>
      <c r="H80" s="372"/>
      <c r="I80" s="372"/>
      <c r="J80" s="372"/>
      <c r="K80" s="372"/>
      <c r="L80" s="372"/>
      <c r="M80" s="372"/>
      <c r="N80" s="372"/>
      <c r="O80" s="372"/>
      <c r="P80" s="373"/>
      <c r="Q80" s="374"/>
      <c r="R80" s="374"/>
      <c r="S80" s="372"/>
      <c r="T80" s="375"/>
      <c r="U80" s="375"/>
      <c r="V80" s="372"/>
      <c r="W80" s="372"/>
      <c r="Y80" s="376"/>
      <c r="Z80" s="377"/>
      <c r="AA80" s="377"/>
      <c r="AB80" s="377"/>
      <c r="AC80" s="32"/>
      <c r="AD80" s="378"/>
      <c r="AE80" s="378"/>
      <c r="AF80" s="378"/>
      <c r="AG80" s="378"/>
      <c r="AI80" s="376"/>
      <c r="AJ80" s="376"/>
      <c r="AK80" s="376"/>
      <c r="AL80" s="376"/>
      <c r="AM80" s="376"/>
      <c r="AN80" s="376"/>
      <c r="AO80" s="376"/>
      <c r="AP80" s="376"/>
      <c r="AQ80" s="124"/>
      <c r="AR80" s="406"/>
      <c r="AS80" s="405"/>
      <c r="AT80" s="405"/>
    </row>
    <row r="81" spans="7:46" hidden="1" x14ac:dyDescent="0.6">
      <c r="G81" s="372"/>
      <c r="H81" s="372"/>
      <c r="I81" s="372"/>
      <c r="J81" s="372"/>
      <c r="K81" s="372"/>
      <c r="L81" s="372"/>
      <c r="M81" s="372"/>
      <c r="N81" s="372"/>
      <c r="O81" s="372"/>
      <c r="P81" s="373"/>
      <c r="Q81" s="374"/>
      <c r="R81" s="374"/>
      <c r="S81" s="372"/>
      <c r="T81" s="375"/>
      <c r="U81" s="375"/>
      <c r="V81" s="372"/>
      <c r="W81" s="372"/>
      <c r="Y81" s="376"/>
      <c r="Z81" s="377"/>
      <c r="AA81" s="377"/>
      <c r="AB81" s="377"/>
      <c r="AC81" s="32"/>
      <c r="AD81" s="378"/>
      <c r="AE81" s="378"/>
      <c r="AF81" s="378"/>
      <c r="AG81" s="378"/>
      <c r="AI81" s="376"/>
      <c r="AJ81" s="376"/>
      <c r="AK81" s="376"/>
      <c r="AL81" s="376"/>
      <c r="AM81" s="376"/>
      <c r="AN81" s="376"/>
      <c r="AO81" s="376"/>
      <c r="AP81" s="376"/>
      <c r="AQ81" s="124"/>
      <c r="AR81" s="406"/>
      <c r="AS81" s="405"/>
      <c r="AT81" s="405"/>
    </row>
    <row r="82" spans="7:46" hidden="1" x14ac:dyDescent="0.6">
      <c r="G82" s="372"/>
      <c r="H82" s="372"/>
      <c r="I82" s="372"/>
      <c r="J82" s="372"/>
      <c r="K82" s="372"/>
      <c r="L82" s="372"/>
      <c r="M82" s="372"/>
      <c r="N82" s="372"/>
      <c r="O82" s="372"/>
      <c r="P82" s="373"/>
      <c r="Q82" s="374"/>
      <c r="R82" s="374"/>
      <c r="S82" s="372"/>
      <c r="T82" s="375"/>
      <c r="U82" s="375"/>
      <c r="V82" s="372"/>
      <c r="W82" s="372"/>
      <c r="Y82" s="376"/>
      <c r="Z82" s="377"/>
      <c r="AA82" s="377"/>
      <c r="AB82" s="377"/>
      <c r="AC82" s="32"/>
      <c r="AD82" s="378"/>
      <c r="AE82" s="378"/>
      <c r="AF82" s="378"/>
      <c r="AG82" s="378"/>
      <c r="AI82" s="376"/>
      <c r="AJ82" s="376"/>
      <c r="AK82" s="376"/>
      <c r="AL82" s="376"/>
      <c r="AM82" s="376"/>
      <c r="AN82" s="376"/>
      <c r="AO82" s="376"/>
      <c r="AP82" s="376"/>
      <c r="AQ82" s="124"/>
      <c r="AR82" s="406"/>
      <c r="AS82" s="405"/>
      <c r="AT82" s="405"/>
    </row>
    <row r="83" spans="7:46" hidden="1" x14ac:dyDescent="0.6">
      <c r="G83" s="372"/>
      <c r="H83" s="372"/>
      <c r="I83" s="372"/>
      <c r="J83" s="372"/>
      <c r="K83" s="372"/>
      <c r="L83" s="372"/>
      <c r="M83" s="372"/>
      <c r="N83" s="372"/>
      <c r="O83" s="372"/>
      <c r="P83" s="373"/>
      <c r="Q83" s="374"/>
      <c r="R83" s="374"/>
      <c r="S83" s="372"/>
      <c r="T83" s="375"/>
      <c r="U83" s="375"/>
      <c r="V83" s="372"/>
      <c r="W83" s="372"/>
      <c r="Y83" s="376"/>
      <c r="Z83" s="377"/>
      <c r="AA83" s="377"/>
      <c r="AB83" s="377"/>
      <c r="AC83" s="32"/>
      <c r="AD83" s="378"/>
      <c r="AE83" s="378"/>
      <c r="AF83" s="378"/>
      <c r="AG83" s="378"/>
      <c r="AI83" s="376"/>
      <c r="AJ83" s="376"/>
      <c r="AK83" s="376"/>
      <c r="AL83" s="376"/>
      <c r="AM83" s="376"/>
      <c r="AN83" s="376"/>
      <c r="AO83" s="376"/>
      <c r="AP83" s="376"/>
      <c r="AQ83" s="124"/>
      <c r="AR83" s="406"/>
      <c r="AS83" s="405"/>
      <c r="AT83" s="405"/>
    </row>
    <row r="84" spans="7:46" hidden="1" x14ac:dyDescent="0.6">
      <c r="G84" s="372"/>
      <c r="H84" s="372"/>
      <c r="I84" s="372"/>
      <c r="J84" s="372"/>
      <c r="K84" s="372"/>
      <c r="L84" s="372"/>
      <c r="M84" s="372"/>
      <c r="N84" s="372"/>
      <c r="O84" s="372"/>
      <c r="P84" s="373"/>
      <c r="Q84" s="374"/>
      <c r="R84" s="374"/>
      <c r="S84" s="372"/>
      <c r="T84" s="375"/>
      <c r="U84" s="375"/>
      <c r="V84" s="372"/>
      <c r="W84" s="372"/>
      <c r="Y84" s="376"/>
      <c r="Z84" s="377"/>
      <c r="AA84" s="377"/>
      <c r="AB84" s="377"/>
      <c r="AC84" s="32"/>
      <c r="AD84" s="378"/>
      <c r="AE84" s="378"/>
      <c r="AF84" s="378"/>
      <c r="AG84" s="378"/>
      <c r="AI84" s="376"/>
      <c r="AJ84" s="376"/>
      <c r="AK84" s="376"/>
      <c r="AL84" s="376"/>
      <c r="AM84" s="376"/>
      <c r="AN84" s="376"/>
      <c r="AO84" s="376"/>
      <c r="AP84" s="376"/>
      <c r="AQ84" s="124"/>
      <c r="AR84" s="406"/>
      <c r="AS84" s="405"/>
      <c r="AT84" s="405"/>
    </row>
    <row r="85" spans="7:46" hidden="1" x14ac:dyDescent="0.6">
      <c r="G85" s="372"/>
      <c r="H85" s="372"/>
      <c r="I85" s="372"/>
      <c r="J85" s="372"/>
      <c r="K85" s="372"/>
      <c r="L85" s="372"/>
      <c r="M85" s="372"/>
      <c r="N85" s="372"/>
      <c r="O85" s="372"/>
      <c r="P85" s="373"/>
      <c r="Q85" s="374"/>
      <c r="R85" s="374"/>
      <c r="S85" s="372"/>
      <c r="T85" s="375"/>
      <c r="U85" s="375"/>
      <c r="V85" s="372"/>
      <c r="W85" s="372"/>
      <c r="Y85" s="376"/>
      <c r="Z85" s="377"/>
      <c r="AA85" s="377"/>
      <c r="AB85" s="377"/>
      <c r="AC85" s="32"/>
      <c r="AD85" s="378"/>
      <c r="AE85" s="378"/>
      <c r="AF85" s="378"/>
      <c r="AG85" s="378"/>
      <c r="AI85" s="376"/>
      <c r="AJ85" s="376"/>
      <c r="AK85" s="376"/>
      <c r="AL85" s="376"/>
      <c r="AM85" s="376"/>
      <c r="AN85" s="376"/>
      <c r="AO85" s="376"/>
      <c r="AP85" s="376"/>
      <c r="AQ85" s="124"/>
      <c r="AR85" s="406"/>
      <c r="AS85" s="405"/>
      <c r="AT85" s="405"/>
    </row>
    <row r="86" spans="7:46" hidden="1" x14ac:dyDescent="0.6">
      <c r="G86" s="372"/>
      <c r="H86" s="372"/>
      <c r="I86" s="372"/>
      <c r="J86" s="372"/>
      <c r="K86" s="372"/>
      <c r="L86" s="372"/>
      <c r="M86" s="372"/>
      <c r="N86" s="372"/>
      <c r="O86" s="372"/>
      <c r="P86" s="373"/>
      <c r="Q86" s="374"/>
      <c r="R86" s="374"/>
      <c r="S86" s="372"/>
      <c r="T86" s="375"/>
      <c r="U86" s="375"/>
      <c r="V86" s="372"/>
      <c r="W86" s="372"/>
      <c r="Y86" s="376"/>
      <c r="Z86" s="377"/>
      <c r="AA86" s="377"/>
      <c r="AB86" s="377"/>
      <c r="AC86" s="32"/>
      <c r="AD86" s="378"/>
      <c r="AE86" s="378"/>
      <c r="AF86" s="378"/>
      <c r="AG86" s="378"/>
      <c r="AI86" s="376"/>
      <c r="AJ86" s="376"/>
      <c r="AK86" s="376"/>
      <c r="AL86" s="376"/>
      <c r="AM86" s="376"/>
      <c r="AN86" s="376"/>
      <c r="AO86" s="376"/>
      <c r="AP86" s="376"/>
      <c r="AQ86" s="124"/>
      <c r="AR86" s="406"/>
      <c r="AS86" s="405"/>
      <c r="AT86" s="405"/>
    </row>
    <row r="87" spans="7:46" hidden="1" x14ac:dyDescent="0.6">
      <c r="G87" s="372"/>
      <c r="H87" s="372"/>
      <c r="I87" s="372"/>
      <c r="J87" s="372"/>
      <c r="K87" s="372"/>
      <c r="L87" s="372"/>
      <c r="M87" s="372"/>
      <c r="N87" s="372"/>
      <c r="O87" s="372"/>
      <c r="P87" s="373"/>
      <c r="Q87" s="374"/>
      <c r="R87" s="374"/>
      <c r="S87" s="372"/>
      <c r="T87" s="375"/>
      <c r="U87" s="375"/>
      <c r="V87" s="380"/>
      <c r="W87" s="372"/>
      <c r="Y87" s="376"/>
      <c r="Z87" s="377"/>
      <c r="AA87" s="377"/>
      <c r="AB87" s="377"/>
      <c r="AC87" s="32"/>
      <c r="AD87" s="378"/>
      <c r="AE87" s="378"/>
      <c r="AF87" s="378"/>
      <c r="AG87" s="378"/>
      <c r="AI87" s="376"/>
      <c r="AJ87" s="376"/>
      <c r="AK87" s="376"/>
      <c r="AL87" s="376"/>
      <c r="AM87" s="376"/>
      <c r="AN87" s="376"/>
      <c r="AO87" s="376"/>
      <c r="AP87" s="376"/>
      <c r="AQ87" s="124"/>
      <c r="AR87" s="406"/>
      <c r="AS87" s="405"/>
      <c r="AT87" s="405"/>
    </row>
    <row r="88" spans="7:46" hidden="1" x14ac:dyDescent="0.6">
      <c r="G88" s="372"/>
      <c r="H88" s="372"/>
      <c r="I88" s="372"/>
      <c r="J88" s="372"/>
      <c r="K88" s="372"/>
      <c r="L88" s="372"/>
      <c r="M88" s="372"/>
      <c r="N88" s="372"/>
      <c r="O88" s="372"/>
      <c r="P88" s="373"/>
      <c r="Q88" s="374"/>
      <c r="R88" s="374"/>
      <c r="S88" s="372"/>
      <c r="T88" s="375"/>
      <c r="U88" s="375"/>
      <c r="V88" s="372"/>
      <c r="W88" s="372"/>
      <c r="Y88" s="376"/>
      <c r="Z88" s="377"/>
      <c r="AA88" s="377"/>
      <c r="AB88" s="377"/>
      <c r="AC88" s="32"/>
      <c r="AD88" s="378"/>
      <c r="AE88" s="378"/>
      <c r="AF88" s="378"/>
      <c r="AG88" s="378"/>
      <c r="AI88" s="376"/>
      <c r="AJ88" s="376"/>
      <c r="AK88" s="376"/>
      <c r="AL88" s="376"/>
      <c r="AM88" s="376"/>
      <c r="AN88" s="376"/>
      <c r="AO88" s="376"/>
      <c r="AP88" s="376"/>
      <c r="AQ88" s="124"/>
      <c r="AR88" s="406"/>
      <c r="AS88" s="405"/>
      <c r="AT88" s="405"/>
    </row>
    <row r="89" spans="7:46" hidden="1" x14ac:dyDescent="0.6">
      <c r="G89" s="372"/>
      <c r="H89" s="372"/>
      <c r="I89" s="372"/>
      <c r="J89" s="372"/>
      <c r="K89" s="372"/>
      <c r="L89" s="372"/>
      <c r="M89" s="372"/>
      <c r="N89" s="372"/>
      <c r="O89" s="372"/>
      <c r="P89" s="373"/>
      <c r="Q89" s="374"/>
      <c r="R89" s="374"/>
      <c r="S89" s="372"/>
      <c r="T89" s="375"/>
      <c r="U89" s="375"/>
      <c r="V89" s="372"/>
      <c r="W89" s="372"/>
      <c r="Y89" s="376"/>
      <c r="Z89" s="377"/>
      <c r="AA89" s="377"/>
      <c r="AB89" s="377"/>
      <c r="AC89" s="32"/>
      <c r="AD89" s="378"/>
      <c r="AE89" s="378"/>
      <c r="AF89" s="378"/>
      <c r="AG89" s="378"/>
      <c r="AI89" s="376"/>
      <c r="AJ89" s="376"/>
      <c r="AK89" s="376"/>
      <c r="AL89" s="376"/>
      <c r="AM89" s="376"/>
      <c r="AN89" s="376"/>
      <c r="AO89" s="376"/>
      <c r="AP89" s="376"/>
      <c r="AQ89" s="124"/>
      <c r="AR89" s="406"/>
      <c r="AS89" s="405"/>
      <c r="AT89" s="405"/>
    </row>
    <row r="90" spans="7:46" hidden="1" x14ac:dyDescent="0.6">
      <c r="G90" s="372"/>
      <c r="H90" s="372"/>
      <c r="I90" s="372"/>
      <c r="J90" s="372"/>
      <c r="K90" s="372"/>
      <c r="L90" s="372"/>
      <c r="M90" s="372"/>
      <c r="N90" s="372"/>
      <c r="O90" s="372"/>
      <c r="P90" s="373"/>
      <c r="Q90" s="374"/>
      <c r="R90" s="374"/>
      <c r="S90" s="372"/>
      <c r="T90" s="375"/>
      <c r="U90" s="375"/>
      <c r="V90" s="372"/>
      <c r="W90" s="372"/>
      <c r="Y90" s="376"/>
      <c r="Z90" s="377"/>
      <c r="AA90" s="377"/>
      <c r="AB90" s="377"/>
      <c r="AC90" s="32"/>
      <c r="AD90" s="378"/>
      <c r="AE90" s="378"/>
      <c r="AF90" s="378"/>
      <c r="AG90" s="378"/>
      <c r="AI90" s="376"/>
      <c r="AJ90" s="376"/>
      <c r="AK90" s="376"/>
      <c r="AL90" s="376"/>
      <c r="AM90" s="376"/>
      <c r="AN90" s="376"/>
      <c r="AO90" s="376"/>
      <c r="AP90" s="376"/>
      <c r="AQ90" s="124"/>
      <c r="AR90" s="406"/>
      <c r="AS90" s="405"/>
      <c r="AT90" s="405"/>
    </row>
    <row r="91" spans="7:46" hidden="1" x14ac:dyDescent="0.6">
      <c r="G91" s="372"/>
      <c r="H91" s="372"/>
      <c r="I91" s="372"/>
      <c r="J91" s="372"/>
      <c r="K91" s="372"/>
      <c r="L91" s="372"/>
      <c r="M91" s="372"/>
      <c r="N91" s="372"/>
      <c r="O91" s="372"/>
      <c r="P91" s="373"/>
      <c r="Q91" s="374"/>
      <c r="R91" s="374"/>
      <c r="S91" s="372"/>
      <c r="T91" s="375"/>
      <c r="U91" s="375"/>
      <c r="V91" s="372"/>
      <c r="W91" s="372"/>
      <c r="Y91" s="376"/>
      <c r="Z91" s="377"/>
      <c r="AA91" s="377"/>
      <c r="AB91" s="377"/>
      <c r="AC91" s="32"/>
      <c r="AD91" s="378"/>
      <c r="AE91" s="378"/>
      <c r="AF91" s="378"/>
      <c r="AG91" s="378"/>
      <c r="AI91" s="376"/>
      <c r="AJ91" s="376"/>
      <c r="AK91" s="376"/>
      <c r="AL91" s="376"/>
      <c r="AM91" s="376"/>
      <c r="AN91" s="376"/>
      <c r="AO91" s="376"/>
      <c r="AP91" s="376"/>
      <c r="AQ91" s="124"/>
      <c r="AR91" s="406"/>
      <c r="AS91" s="405"/>
      <c r="AT91" s="405"/>
    </row>
    <row r="92" spans="7:46" hidden="1" x14ac:dyDescent="0.6">
      <c r="G92" s="372"/>
      <c r="H92" s="372"/>
      <c r="I92" s="372"/>
      <c r="J92" s="372"/>
      <c r="K92" s="372"/>
      <c r="L92" s="372"/>
      <c r="M92" s="372"/>
      <c r="N92" s="372"/>
      <c r="O92" s="372"/>
      <c r="P92" s="373"/>
      <c r="Q92" s="374"/>
      <c r="R92" s="374"/>
      <c r="S92" s="372"/>
      <c r="T92" s="375"/>
      <c r="U92" s="375"/>
      <c r="V92" s="372"/>
      <c r="W92" s="372"/>
      <c r="Y92" s="376"/>
      <c r="Z92" s="377"/>
      <c r="AA92" s="377"/>
      <c r="AB92" s="377"/>
      <c r="AC92" s="32"/>
      <c r="AD92" s="378"/>
      <c r="AE92" s="378"/>
      <c r="AF92" s="378"/>
      <c r="AG92" s="378"/>
      <c r="AI92" s="376"/>
      <c r="AJ92" s="376"/>
      <c r="AK92" s="376"/>
      <c r="AL92" s="376"/>
      <c r="AM92" s="376"/>
      <c r="AN92" s="376"/>
      <c r="AO92" s="376"/>
      <c r="AP92" s="376"/>
      <c r="AQ92" s="124"/>
      <c r="AR92" s="406"/>
      <c r="AS92" s="405"/>
      <c r="AT92" s="405"/>
    </row>
    <row r="93" spans="7:46" hidden="1" x14ac:dyDescent="0.6">
      <c r="G93" s="372"/>
      <c r="H93" s="372"/>
      <c r="I93" s="372"/>
      <c r="J93" s="372"/>
      <c r="K93" s="372"/>
      <c r="L93" s="372"/>
      <c r="M93" s="372"/>
      <c r="N93" s="372"/>
      <c r="O93" s="372"/>
      <c r="P93" s="373"/>
      <c r="Q93" s="374"/>
      <c r="R93" s="374"/>
      <c r="S93" s="372"/>
      <c r="T93" s="375"/>
      <c r="U93" s="375"/>
      <c r="V93" s="372"/>
      <c r="W93" s="372"/>
      <c r="Y93" s="376"/>
      <c r="Z93" s="377"/>
      <c r="AA93" s="377"/>
      <c r="AB93" s="377"/>
      <c r="AC93" s="32"/>
      <c r="AD93" s="378"/>
      <c r="AE93" s="378"/>
      <c r="AF93" s="378"/>
      <c r="AG93" s="378"/>
      <c r="AI93" s="376"/>
      <c r="AJ93" s="376"/>
      <c r="AK93" s="376"/>
      <c r="AL93" s="376"/>
      <c r="AM93" s="376"/>
      <c r="AN93" s="376"/>
      <c r="AO93" s="376"/>
      <c r="AP93" s="376"/>
      <c r="AQ93" s="124"/>
      <c r="AR93" s="406"/>
      <c r="AS93" s="405"/>
      <c r="AT93" s="405"/>
    </row>
    <row r="94" spans="7:46" hidden="1" x14ac:dyDescent="0.6">
      <c r="G94" s="372"/>
      <c r="H94" s="372"/>
      <c r="I94" s="372"/>
      <c r="J94" s="372"/>
      <c r="K94" s="372"/>
      <c r="L94" s="372"/>
      <c r="M94" s="372"/>
      <c r="N94" s="372"/>
      <c r="O94" s="372"/>
      <c r="P94" s="373"/>
      <c r="Q94" s="374"/>
      <c r="R94" s="374"/>
      <c r="S94" s="372"/>
      <c r="T94" s="375"/>
      <c r="U94" s="375"/>
      <c r="V94" s="372"/>
      <c r="W94" s="372"/>
      <c r="Y94" s="376"/>
      <c r="Z94" s="377"/>
      <c r="AA94" s="377"/>
      <c r="AB94" s="377"/>
      <c r="AC94" s="32"/>
      <c r="AD94" s="378"/>
      <c r="AE94" s="378"/>
      <c r="AF94" s="378"/>
      <c r="AG94" s="378"/>
      <c r="AI94" s="376"/>
      <c r="AJ94" s="376"/>
      <c r="AK94" s="376"/>
      <c r="AL94" s="376"/>
      <c r="AM94" s="376"/>
      <c r="AN94" s="376"/>
      <c r="AO94" s="376"/>
      <c r="AP94" s="376"/>
      <c r="AQ94" s="124"/>
      <c r="AR94" s="406"/>
      <c r="AS94" s="405"/>
      <c r="AT94" s="405"/>
    </row>
    <row r="95" spans="7:46" hidden="1" x14ac:dyDescent="0.6">
      <c r="G95" s="372"/>
      <c r="H95" s="372"/>
      <c r="I95" s="372"/>
      <c r="J95" s="372"/>
      <c r="K95" s="372"/>
      <c r="L95" s="372"/>
      <c r="M95" s="372"/>
      <c r="N95" s="372"/>
      <c r="O95" s="372"/>
      <c r="P95" s="373"/>
      <c r="Q95" s="374"/>
      <c r="R95" s="374"/>
      <c r="S95" s="372"/>
      <c r="T95" s="375"/>
      <c r="U95" s="375"/>
      <c r="V95" s="372"/>
      <c r="W95" s="372"/>
      <c r="Y95" s="376"/>
      <c r="Z95" s="377"/>
      <c r="AA95" s="377"/>
      <c r="AB95" s="377"/>
      <c r="AC95" s="32"/>
      <c r="AD95" s="378"/>
      <c r="AE95" s="378"/>
      <c r="AF95" s="378"/>
      <c r="AG95" s="378"/>
      <c r="AI95" s="376"/>
      <c r="AJ95" s="376"/>
      <c r="AK95" s="376"/>
      <c r="AL95" s="376"/>
      <c r="AM95" s="376"/>
      <c r="AN95" s="376"/>
      <c r="AO95" s="376"/>
      <c r="AP95" s="376"/>
      <c r="AQ95" s="124"/>
      <c r="AR95" s="406"/>
      <c r="AS95" s="405"/>
      <c r="AT95" s="405"/>
    </row>
    <row r="96" spans="7:46" hidden="1" x14ac:dyDescent="0.6">
      <c r="G96" s="372"/>
      <c r="H96" s="372"/>
      <c r="I96" s="372"/>
      <c r="J96" s="372"/>
      <c r="K96" s="372"/>
      <c r="L96" s="372"/>
      <c r="M96" s="372"/>
      <c r="N96" s="372"/>
      <c r="O96" s="372"/>
      <c r="P96" s="373"/>
      <c r="Q96" s="374"/>
      <c r="R96" s="374"/>
      <c r="S96" s="372"/>
      <c r="T96" s="375"/>
      <c r="U96" s="375"/>
      <c r="V96" s="372"/>
      <c r="W96" s="372"/>
      <c r="Y96" s="376"/>
      <c r="Z96" s="377"/>
      <c r="AA96" s="377"/>
      <c r="AB96" s="377"/>
      <c r="AC96" s="32"/>
      <c r="AD96" s="378"/>
      <c r="AE96" s="378"/>
      <c r="AF96" s="378"/>
      <c r="AG96" s="378"/>
      <c r="AI96" s="376"/>
      <c r="AJ96" s="376"/>
      <c r="AK96" s="376"/>
      <c r="AL96" s="376"/>
      <c r="AM96" s="376"/>
      <c r="AN96" s="376"/>
      <c r="AO96" s="376"/>
      <c r="AP96" s="376"/>
      <c r="AQ96" s="124"/>
      <c r="AR96" s="406"/>
      <c r="AS96" s="405"/>
      <c r="AT96" s="405"/>
    </row>
    <row r="97" spans="7:46" hidden="1" x14ac:dyDescent="0.6">
      <c r="G97" s="372"/>
      <c r="H97" s="372"/>
      <c r="I97" s="372"/>
      <c r="J97" s="372"/>
      <c r="K97" s="372"/>
      <c r="L97" s="372"/>
      <c r="M97" s="372"/>
      <c r="N97" s="372"/>
      <c r="O97" s="372"/>
      <c r="P97" s="373"/>
      <c r="Q97" s="374"/>
      <c r="R97" s="374"/>
      <c r="S97" s="372"/>
      <c r="T97" s="375"/>
      <c r="U97" s="375"/>
      <c r="V97" s="372"/>
      <c r="W97" s="372"/>
      <c r="Y97" s="376"/>
      <c r="Z97" s="377"/>
      <c r="AA97" s="377"/>
      <c r="AB97" s="377"/>
      <c r="AC97" s="32"/>
      <c r="AD97" s="378"/>
      <c r="AE97" s="378"/>
      <c r="AF97" s="378"/>
      <c r="AG97" s="378"/>
      <c r="AI97" s="376"/>
      <c r="AJ97" s="376"/>
      <c r="AK97" s="376"/>
      <c r="AL97" s="376"/>
      <c r="AM97" s="376"/>
      <c r="AN97" s="376"/>
      <c r="AO97" s="376"/>
      <c r="AP97" s="376"/>
      <c r="AQ97" s="124"/>
      <c r="AR97" s="406"/>
      <c r="AS97" s="405"/>
      <c r="AT97" s="405"/>
    </row>
    <row r="98" spans="7:46" hidden="1" x14ac:dyDescent="0.6">
      <c r="G98" s="372"/>
      <c r="H98" s="372"/>
      <c r="I98" s="372"/>
      <c r="J98" s="372"/>
      <c r="K98" s="372"/>
      <c r="L98" s="372"/>
      <c r="M98" s="372"/>
      <c r="N98" s="372"/>
      <c r="O98" s="372"/>
      <c r="P98" s="373"/>
      <c r="Q98" s="374"/>
      <c r="R98" s="374"/>
      <c r="S98" s="372"/>
      <c r="T98" s="375"/>
      <c r="U98" s="375"/>
      <c r="V98" s="372"/>
      <c r="W98" s="372"/>
      <c r="Y98" s="376"/>
      <c r="Z98" s="377"/>
      <c r="AA98" s="377"/>
      <c r="AB98" s="377"/>
      <c r="AC98" s="32"/>
      <c r="AD98" s="378"/>
      <c r="AE98" s="378"/>
      <c r="AF98" s="378"/>
      <c r="AG98" s="378"/>
      <c r="AI98" s="376"/>
      <c r="AJ98" s="376"/>
      <c r="AK98" s="376"/>
      <c r="AL98" s="376"/>
      <c r="AM98" s="376"/>
      <c r="AN98" s="376"/>
      <c r="AO98" s="376"/>
      <c r="AP98" s="376"/>
      <c r="AQ98" s="124"/>
      <c r="AR98" s="406"/>
      <c r="AS98" s="405"/>
      <c r="AT98" s="405"/>
    </row>
    <row r="99" spans="7:46" hidden="1" x14ac:dyDescent="0.6">
      <c r="G99" s="372"/>
      <c r="H99" s="372"/>
      <c r="I99" s="372"/>
      <c r="J99" s="372"/>
      <c r="K99" s="372"/>
      <c r="L99" s="372"/>
      <c r="M99" s="372"/>
      <c r="N99" s="372"/>
      <c r="O99" s="372"/>
      <c r="P99" s="373"/>
      <c r="Q99" s="374"/>
      <c r="R99" s="374"/>
      <c r="S99" s="372"/>
      <c r="T99" s="375"/>
      <c r="U99" s="375"/>
      <c r="V99" s="372"/>
      <c r="W99" s="372"/>
      <c r="Y99" s="376"/>
      <c r="Z99" s="377"/>
      <c r="AA99" s="377"/>
      <c r="AB99" s="377"/>
      <c r="AC99" s="32"/>
      <c r="AD99" s="378"/>
      <c r="AE99" s="378"/>
      <c r="AF99" s="378"/>
      <c r="AG99" s="378"/>
      <c r="AI99" s="376"/>
      <c r="AJ99" s="376"/>
      <c r="AK99" s="376"/>
      <c r="AL99" s="376"/>
      <c r="AM99" s="376"/>
      <c r="AN99" s="376"/>
      <c r="AO99" s="376"/>
      <c r="AP99" s="376"/>
      <c r="AQ99" s="124"/>
      <c r="AR99" s="406"/>
      <c r="AS99" s="405"/>
      <c r="AT99" s="405"/>
    </row>
    <row r="100" spans="7:46" hidden="1" x14ac:dyDescent="0.6">
      <c r="G100" s="372"/>
      <c r="H100" s="372"/>
      <c r="I100" s="372"/>
      <c r="J100" s="372"/>
      <c r="K100" s="372"/>
      <c r="L100" s="372"/>
      <c r="M100" s="372"/>
      <c r="N100" s="372"/>
      <c r="O100" s="372"/>
      <c r="P100" s="373"/>
      <c r="Q100" s="374"/>
      <c r="R100" s="374"/>
      <c r="S100" s="372"/>
      <c r="T100" s="375"/>
      <c r="U100" s="375"/>
      <c r="V100" s="372"/>
      <c r="W100" s="372"/>
      <c r="Y100" s="376"/>
      <c r="Z100" s="377"/>
      <c r="AA100" s="377"/>
      <c r="AB100" s="377"/>
      <c r="AC100" s="32"/>
      <c r="AD100" s="378"/>
      <c r="AE100" s="378"/>
      <c r="AF100" s="378"/>
      <c r="AG100" s="378"/>
      <c r="AI100" s="376"/>
      <c r="AJ100" s="376"/>
      <c r="AK100" s="376"/>
      <c r="AL100" s="376"/>
      <c r="AM100" s="376"/>
      <c r="AN100" s="376"/>
      <c r="AO100" s="376"/>
      <c r="AP100" s="376"/>
      <c r="AQ100" s="124"/>
      <c r="AR100" s="406"/>
      <c r="AS100" s="405"/>
      <c r="AT100" s="405"/>
    </row>
    <row r="101" spans="7:46" hidden="1" x14ac:dyDescent="0.6">
      <c r="G101" s="372"/>
      <c r="H101" s="372"/>
      <c r="I101" s="372"/>
      <c r="J101" s="372"/>
      <c r="K101" s="372"/>
      <c r="L101" s="372"/>
      <c r="M101" s="372"/>
      <c r="N101" s="372"/>
      <c r="O101" s="372"/>
      <c r="P101" s="373"/>
      <c r="Q101" s="374"/>
      <c r="R101" s="374"/>
      <c r="S101" s="372"/>
      <c r="T101" s="375"/>
      <c r="U101" s="375"/>
      <c r="V101" s="372"/>
      <c r="W101" s="372"/>
      <c r="Y101" s="376"/>
      <c r="Z101" s="377"/>
      <c r="AA101" s="377"/>
      <c r="AB101" s="377"/>
      <c r="AC101" s="32"/>
      <c r="AD101" s="378"/>
      <c r="AE101" s="378"/>
      <c r="AF101" s="378"/>
      <c r="AG101" s="378"/>
      <c r="AI101" s="376"/>
      <c r="AJ101" s="376"/>
      <c r="AK101" s="376"/>
      <c r="AL101" s="376"/>
      <c r="AM101" s="376"/>
      <c r="AN101" s="376"/>
      <c r="AO101" s="376"/>
      <c r="AP101" s="376"/>
      <c r="AQ101" s="124"/>
      <c r="AR101" s="406" t="str">
        <f t="shared" ref="AR101:AR138" si="1">IF(AQ101="","",MAX(AG101,AQ101))</f>
        <v/>
      </c>
      <c r="AS101" s="405"/>
      <c r="AT101" s="405"/>
    </row>
    <row r="102" spans="7:46" hidden="1" x14ac:dyDescent="0.6">
      <c r="G102" s="372"/>
      <c r="H102" s="372"/>
      <c r="I102" s="372"/>
      <c r="J102" s="372"/>
      <c r="K102" s="372"/>
      <c r="L102" s="372"/>
      <c r="M102" s="372"/>
      <c r="N102" s="372"/>
      <c r="O102" s="372"/>
      <c r="P102" s="373"/>
      <c r="Q102" s="374"/>
      <c r="R102" s="374"/>
      <c r="S102" s="372"/>
      <c r="T102" s="375"/>
      <c r="U102" s="375"/>
      <c r="V102" s="372"/>
      <c r="W102" s="372"/>
      <c r="Y102" s="376"/>
      <c r="Z102" s="377"/>
      <c r="AA102" s="377"/>
      <c r="AB102" s="377"/>
      <c r="AC102" s="32"/>
      <c r="AD102" s="378"/>
      <c r="AE102" s="378"/>
      <c r="AF102" s="378"/>
      <c r="AG102" s="378"/>
      <c r="AI102" s="376"/>
      <c r="AJ102" s="376"/>
      <c r="AK102" s="376"/>
      <c r="AL102" s="376"/>
      <c r="AM102" s="376"/>
      <c r="AN102" s="376"/>
      <c r="AO102" s="376"/>
      <c r="AP102" s="376"/>
      <c r="AQ102" s="124"/>
      <c r="AR102" s="406" t="str">
        <f t="shared" si="1"/>
        <v/>
      </c>
      <c r="AS102" s="405"/>
      <c r="AT102" s="405"/>
    </row>
    <row r="103" spans="7:46" hidden="1" x14ac:dyDescent="0.6">
      <c r="G103" s="372"/>
      <c r="H103" s="372"/>
      <c r="I103" s="372"/>
      <c r="J103" s="372"/>
      <c r="K103" s="372"/>
      <c r="L103" s="372"/>
      <c r="M103" s="372"/>
      <c r="N103" s="372"/>
      <c r="O103" s="372"/>
      <c r="P103" s="373"/>
      <c r="Q103" s="374"/>
      <c r="R103" s="374"/>
      <c r="S103" s="372"/>
      <c r="T103" s="375"/>
      <c r="U103" s="375"/>
      <c r="V103" s="372"/>
      <c r="W103" s="372"/>
      <c r="Y103" s="376"/>
      <c r="Z103" s="377"/>
      <c r="AA103" s="377"/>
      <c r="AB103" s="377"/>
      <c r="AC103" s="32"/>
      <c r="AD103" s="378"/>
      <c r="AE103" s="378"/>
      <c r="AF103" s="378"/>
      <c r="AG103" s="378"/>
      <c r="AI103" s="376"/>
      <c r="AJ103" s="376"/>
      <c r="AK103" s="376"/>
      <c r="AL103" s="376"/>
      <c r="AM103" s="376"/>
      <c r="AN103" s="376"/>
      <c r="AO103" s="376"/>
      <c r="AP103" s="376"/>
      <c r="AQ103" s="124"/>
      <c r="AR103" s="406" t="str">
        <f t="shared" si="1"/>
        <v/>
      </c>
      <c r="AS103" s="405"/>
      <c r="AT103" s="405"/>
    </row>
    <row r="104" spans="7:46" hidden="1" x14ac:dyDescent="0.6">
      <c r="G104" s="372"/>
      <c r="H104" s="372"/>
      <c r="I104" s="372"/>
      <c r="J104" s="372"/>
      <c r="K104" s="372"/>
      <c r="L104" s="372"/>
      <c r="M104" s="372"/>
      <c r="N104" s="372"/>
      <c r="O104" s="372"/>
      <c r="P104" s="373"/>
      <c r="Q104" s="374"/>
      <c r="R104" s="374"/>
      <c r="S104" s="372"/>
      <c r="T104" s="375"/>
      <c r="U104" s="375"/>
      <c r="V104" s="372"/>
      <c r="W104" s="372"/>
      <c r="Y104" s="376"/>
      <c r="Z104" s="377"/>
      <c r="AA104" s="377"/>
      <c r="AB104" s="377"/>
      <c r="AC104" s="32"/>
      <c r="AD104" s="378"/>
      <c r="AE104" s="378"/>
      <c r="AF104" s="378"/>
      <c r="AG104" s="378"/>
      <c r="AI104" s="376"/>
      <c r="AJ104" s="376"/>
      <c r="AK104" s="376"/>
      <c r="AL104" s="376"/>
      <c r="AM104" s="376"/>
      <c r="AN104" s="376"/>
      <c r="AO104" s="376"/>
      <c r="AP104" s="376"/>
      <c r="AQ104" s="124"/>
      <c r="AR104" s="406" t="str">
        <f t="shared" si="1"/>
        <v/>
      </c>
      <c r="AS104" s="405"/>
      <c r="AT104" s="405"/>
    </row>
    <row r="105" spans="7:46" hidden="1" x14ac:dyDescent="0.6">
      <c r="G105" s="372"/>
      <c r="H105" s="372"/>
      <c r="I105" s="372"/>
      <c r="J105" s="372"/>
      <c r="K105" s="372"/>
      <c r="L105" s="372"/>
      <c r="M105" s="372"/>
      <c r="N105" s="372"/>
      <c r="O105" s="372"/>
      <c r="P105" s="373"/>
      <c r="Q105" s="374"/>
      <c r="R105" s="374"/>
      <c r="S105" s="372"/>
      <c r="T105" s="375"/>
      <c r="U105" s="375"/>
      <c r="V105" s="372"/>
      <c r="W105" s="372"/>
      <c r="Y105" s="376"/>
      <c r="Z105" s="377"/>
      <c r="AA105" s="377"/>
      <c r="AB105" s="377"/>
      <c r="AC105" s="32"/>
      <c r="AD105" s="378"/>
      <c r="AE105" s="378"/>
      <c r="AF105" s="378"/>
      <c r="AG105" s="378"/>
      <c r="AI105" s="376"/>
      <c r="AJ105" s="376"/>
      <c r="AK105" s="376"/>
      <c r="AL105" s="376"/>
      <c r="AM105" s="376"/>
      <c r="AN105" s="376"/>
      <c r="AO105" s="376"/>
      <c r="AP105" s="376"/>
      <c r="AQ105" s="124"/>
      <c r="AR105" s="406" t="str">
        <f t="shared" si="1"/>
        <v/>
      </c>
      <c r="AS105" s="405"/>
      <c r="AT105" s="405"/>
    </row>
    <row r="106" spans="7:46" hidden="1" x14ac:dyDescent="0.6">
      <c r="G106" s="372"/>
      <c r="H106" s="372"/>
      <c r="I106" s="372"/>
      <c r="J106" s="372"/>
      <c r="K106" s="372"/>
      <c r="L106" s="372"/>
      <c r="M106" s="372"/>
      <c r="N106" s="372"/>
      <c r="O106" s="372"/>
      <c r="P106" s="373"/>
      <c r="Q106" s="374"/>
      <c r="R106" s="374"/>
      <c r="S106" s="372"/>
      <c r="T106" s="375"/>
      <c r="U106" s="375"/>
      <c r="V106" s="372"/>
      <c r="W106" s="372"/>
      <c r="Y106" s="376"/>
      <c r="Z106" s="377"/>
      <c r="AA106" s="377"/>
      <c r="AB106" s="377"/>
      <c r="AC106" s="32"/>
      <c r="AD106" s="378"/>
      <c r="AE106" s="378"/>
      <c r="AF106" s="378"/>
      <c r="AG106" s="378"/>
      <c r="AI106" s="376"/>
      <c r="AJ106" s="376"/>
      <c r="AK106" s="376"/>
      <c r="AL106" s="376"/>
      <c r="AM106" s="376"/>
      <c r="AN106" s="376"/>
      <c r="AO106" s="376"/>
      <c r="AP106" s="376"/>
      <c r="AQ106" s="124"/>
      <c r="AR106" s="406" t="str">
        <f t="shared" si="1"/>
        <v/>
      </c>
      <c r="AS106" s="405"/>
      <c r="AT106" s="405"/>
    </row>
    <row r="107" spans="7:46" hidden="1" x14ac:dyDescent="0.6">
      <c r="G107" s="372"/>
      <c r="H107" s="372"/>
      <c r="I107" s="372"/>
      <c r="J107" s="372"/>
      <c r="K107" s="372"/>
      <c r="L107" s="372"/>
      <c r="M107" s="372"/>
      <c r="N107" s="372"/>
      <c r="O107" s="372"/>
      <c r="P107" s="373"/>
      <c r="Q107" s="374"/>
      <c r="R107" s="374"/>
      <c r="S107" s="372"/>
      <c r="T107" s="375"/>
      <c r="U107" s="375"/>
      <c r="V107" s="372"/>
      <c r="W107" s="372"/>
      <c r="Y107" s="376"/>
      <c r="Z107" s="377"/>
      <c r="AA107" s="377"/>
      <c r="AB107" s="377"/>
      <c r="AC107" s="32"/>
      <c r="AD107" s="378"/>
      <c r="AE107" s="378"/>
      <c r="AF107" s="378"/>
      <c r="AG107" s="378"/>
      <c r="AI107" s="376"/>
      <c r="AJ107" s="376"/>
      <c r="AK107" s="376"/>
      <c r="AL107" s="376"/>
      <c r="AM107" s="376"/>
      <c r="AN107" s="376"/>
      <c r="AO107" s="376"/>
      <c r="AP107" s="376"/>
      <c r="AQ107" s="124"/>
      <c r="AR107" s="406" t="str">
        <f t="shared" si="1"/>
        <v/>
      </c>
      <c r="AS107" s="405"/>
      <c r="AT107" s="405"/>
    </row>
    <row r="108" spans="7:46" hidden="1" x14ac:dyDescent="0.6">
      <c r="G108" s="372"/>
      <c r="H108" s="372"/>
      <c r="I108" s="372"/>
      <c r="J108" s="372"/>
      <c r="K108" s="372"/>
      <c r="L108" s="372"/>
      <c r="M108" s="372"/>
      <c r="N108" s="372"/>
      <c r="O108" s="372"/>
      <c r="P108" s="373"/>
      <c r="Q108" s="374"/>
      <c r="R108" s="374"/>
      <c r="S108" s="372"/>
      <c r="T108" s="375"/>
      <c r="U108" s="375"/>
      <c r="V108" s="372"/>
      <c r="W108" s="372"/>
      <c r="Y108" s="376"/>
      <c r="Z108" s="377"/>
      <c r="AA108" s="377"/>
      <c r="AB108" s="377"/>
      <c r="AC108" s="32"/>
      <c r="AD108" s="378"/>
      <c r="AE108" s="378"/>
      <c r="AF108" s="378"/>
      <c r="AG108" s="378"/>
      <c r="AI108" s="376"/>
      <c r="AJ108" s="376"/>
      <c r="AK108" s="376"/>
      <c r="AL108" s="376"/>
      <c r="AM108" s="376"/>
      <c r="AN108" s="376"/>
      <c r="AO108" s="376"/>
      <c r="AP108" s="376"/>
      <c r="AQ108" s="124"/>
      <c r="AR108" s="406" t="str">
        <f t="shared" si="1"/>
        <v/>
      </c>
      <c r="AS108" s="405"/>
      <c r="AT108" s="405"/>
    </row>
    <row r="109" spans="7:46" hidden="1" x14ac:dyDescent="0.6">
      <c r="G109" s="372"/>
      <c r="H109" s="372"/>
      <c r="I109" s="372"/>
      <c r="J109" s="372"/>
      <c r="K109" s="372"/>
      <c r="L109" s="372"/>
      <c r="M109" s="372"/>
      <c r="N109" s="372"/>
      <c r="O109" s="372"/>
      <c r="P109" s="373"/>
      <c r="Q109" s="374"/>
      <c r="R109" s="374"/>
      <c r="S109" s="372"/>
      <c r="T109" s="375"/>
      <c r="U109" s="375"/>
      <c r="V109" s="372"/>
      <c r="W109" s="372"/>
      <c r="Y109" s="376"/>
      <c r="Z109" s="377"/>
      <c r="AA109" s="377"/>
      <c r="AB109" s="377"/>
      <c r="AC109" s="32"/>
      <c r="AD109" s="378"/>
      <c r="AE109" s="378"/>
      <c r="AF109" s="378"/>
      <c r="AG109" s="378"/>
      <c r="AI109" s="376"/>
      <c r="AJ109" s="376"/>
      <c r="AK109" s="376"/>
      <c r="AL109" s="376"/>
      <c r="AM109" s="376"/>
      <c r="AN109" s="376"/>
      <c r="AO109" s="376"/>
      <c r="AP109" s="376"/>
      <c r="AQ109" s="124"/>
      <c r="AR109" s="406" t="str">
        <f t="shared" si="1"/>
        <v/>
      </c>
      <c r="AS109" s="405"/>
      <c r="AT109" s="405"/>
    </row>
    <row r="110" spans="7:46" hidden="1" x14ac:dyDescent="0.6">
      <c r="G110" s="372"/>
      <c r="H110" s="372"/>
      <c r="I110" s="372"/>
      <c r="J110" s="372"/>
      <c r="K110" s="372"/>
      <c r="L110" s="372"/>
      <c r="M110" s="372"/>
      <c r="N110" s="372"/>
      <c r="O110" s="372"/>
      <c r="P110" s="373"/>
      <c r="Q110" s="374"/>
      <c r="R110" s="374"/>
      <c r="S110" s="372"/>
      <c r="T110" s="375"/>
      <c r="U110" s="375"/>
      <c r="V110" s="372"/>
      <c r="W110" s="372"/>
      <c r="Y110" s="376"/>
      <c r="Z110" s="377"/>
      <c r="AA110" s="377"/>
      <c r="AB110" s="377"/>
      <c r="AC110" s="32"/>
      <c r="AD110" s="378"/>
      <c r="AE110" s="378"/>
      <c r="AF110" s="378"/>
      <c r="AG110" s="378"/>
      <c r="AI110" s="376"/>
      <c r="AJ110" s="376"/>
      <c r="AK110" s="376"/>
      <c r="AL110" s="376"/>
      <c r="AM110" s="376"/>
      <c r="AN110" s="376"/>
      <c r="AO110" s="376"/>
      <c r="AP110" s="376"/>
      <c r="AQ110" s="124"/>
      <c r="AR110" s="406" t="str">
        <f t="shared" si="1"/>
        <v/>
      </c>
      <c r="AS110" s="405"/>
      <c r="AT110" s="405"/>
    </row>
    <row r="111" spans="7:46" hidden="1" x14ac:dyDescent="0.6">
      <c r="G111" s="372"/>
      <c r="H111" s="372"/>
      <c r="I111" s="372"/>
      <c r="J111" s="372"/>
      <c r="K111" s="372"/>
      <c r="L111" s="372"/>
      <c r="M111" s="372"/>
      <c r="N111" s="372"/>
      <c r="O111" s="372"/>
      <c r="P111" s="373"/>
      <c r="Q111" s="374"/>
      <c r="R111" s="374"/>
      <c r="S111" s="372"/>
      <c r="T111" s="375"/>
      <c r="U111" s="375"/>
      <c r="V111" s="372"/>
      <c r="W111" s="372"/>
      <c r="Y111" s="376"/>
      <c r="Z111" s="377"/>
      <c r="AA111" s="377"/>
      <c r="AB111" s="377"/>
      <c r="AC111" s="32"/>
      <c r="AD111" s="378"/>
      <c r="AE111" s="378"/>
      <c r="AF111" s="378"/>
      <c r="AG111" s="378"/>
      <c r="AI111" s="376"/>
      <c r="AJ111" s="376"/>
      <c r="AK111" s="376"/>
      <c r="AL111" s="376"/>
      <c r="AM111" s="376"/>
      <c r="AN111" s="376"/>
      <c r="AO111" s="376"/>
      <c r="AP111" s="376"/>
      <c r="AQ111" s="124"/>
      <c r="AR111" s="406" t="str">
        <f t="shared" si="1"/>
        <v/>
      </c>
      <c r="AS111" s="405"/>
      <c r="AT111" s="405"/>
    </row>
    <row r="112" spans="7:46" hidden="1" x14ac:dyDescent="0.6">
      <c r="G112" s="372"/>
      <c r="H112" s="372"/>
      <c r="I112" s="372"/>
      <c r="J112" s="372"/>
      <c r="K112" s="372"/>
      <c r="L112" s="372"/>
      <c r="M112" s="372"/>
      <c r="N112" s="372"/>
      <c r="O112" s="372"/>
      <c r="P112" s="373"/>
      <c r="Q112" s="374"/>
      <c r="R112" s="374"/>
      <c r="S112" s="372"/>
      <c r="T112" s="375"/>
      <c r="U112" s="375"/>
      <c r="V112" s="372"/>
      <c r="W112" s="372"/>
      <c r="Y112" s="376"/>
      <c r="Z112" s="377"/>
      <c r="AA112" s="377"/>
      <c r="AB112" s="377"/>
      <c r="AC112" s="32"/>
      <c r="AD112" s="378"/>
      <c r="AE112" s="378"/>
      <c r="AF112" s="378"/>
      <c r="AG112" s="378"/>
      <c r="AI112" s="376"/>
      <c r="AJ112" s="376"/>
      <c r="AK112" s="376"/>
      <c r="AL112" s="376"/>
      <c r="AM112" s="376"/>
      <c r="AN112" s="376"/>
      <c r="AO112" s="376"/>
      <c r="AP112" s="376"/>
      <c r="AQ112" s="124"/>
      <c r="AR112" s="406" t="str">
        <f t="shared" si="1"/>
        <v/>
      </c>
      <c r="AS112" s="405"/>
      <c r="AT112" s="405"/>
    </row>
    <row r="113" spans="7:46" hidden="1" x14ac:dyDescent="0.6">
      <c r="G113" s="372"/>
      <c r="H113" s="372"/>
      <c r="I113" s="372"/>
      <c r="J113" s="372"/>
      <c r="K113" s="372"/>
      <c r="L113" s="372"/>
      <c r="M113" s="372"/>
      <c r="N113" s="372"/>
      <c r="O113" s="372"/>
      <c r="P113" s="373"/>
      <c r="Q113" s="374"/>
      <c r="R113" s="374"/>
      <c r="S113" s="372"/>
      <c r="T113" s="375"/>
      <c r="U113" s="375"/>
      <c r="V113" s="372"/>
      <c r="W113" s="372"/>
      <c r="Y113" s="376"/>
      <c r="Z113" s="377"/>
      <c r="AA113" s="377"/>
      <c r="AB113" s="377"/>
      <c r="AC113" s="32"/>
      <c r="AD113" s="378"/>
      <c r="AE113" s="378"/>
      <c r="AF113" s="378"/>
      <c r="AG113" s="378"/>
      <c r="AI113" s="376"/>
      <c r="AJ113" s="376"/>
      <c r="AK113" s="376"/>
      <c r="AL113" s="376"/>
      <c r="AM113" s="376"/>
      <c r="AN113" s="376"/>
      <c r="AO113" s="376"/>
      <c r="AP113" s="376"/>
      <c r="AQ113" s="124"/>
      <c r="AR113" s="406" t="str">
        <f t="shared" si="1"/>
        <v/>
      </c>
      <c r="AS113" s="405"/>
      <c r="AT113" s="405"/>
    </row>
    <row r="114" spans="7:46" hidden="1" x14ac:dyDescent="0.6">
      <c r="G114" s="372"/>
      <c r="H114" s="372"/>
      <c r="I114" s="372"/>
      <c r="J114" s="372"/>
      <c r="K114" s="372"/>
      <c r="L114" s="372"/>
      <c r="M114" s="372"/>
      <c r="N114" s="372"/>
      <c r="O114" s="372"/>
      <c r="P114" s="373"/>
      <c r="Q114" s="374"/>
      <c r="R114" s="374"/>
      <c r="S114" s="372"/>
      <c r="T114" s="375"/>
      <c r="U114" s="375"/>
      <c r="V114" s="372"/>
      <c r="W114" s="372"/>
      <c r="Y114" s="376"/>
      <c r="Z114" s="377"/>
      <c r="AA114" s="377"/>
      <c r="AB114" s="377"/>
      <c r="AC114" s="32"/>
      <c r="AD114" s="378"/>
      <c r="AE114" s="378"/>
      <c r="AF114" s="378"/>
      <c r="AG114" s="378"/>
      <c r="AI114" s="376"/>
      <c r="AJ114" s="376"/>
      <c r="AK114" s="376"/>
      <c r="AL114" s="376"/>
      <c r="AM114" s="376"/>
      <c r="AN114" s="376"/>
      <c r="AO114" s="376"/>
      <c r="AP114" s="376"/>
      <c r="AQ114" s="124"/>
      <c r="AR114" s="406" t="str">
        <f t="shared" si="1"/>
        <v/>
      </c>
      <c r="AS114" s="405"/>
      <c r="AT114" s="405"/>
    </row>
    <row r="115" spans="7:46" hidden="1" x14ac:dyDescent="0.6">
      <c r="G115" s="372"/>
      <c r="H115" s="372"/>
      <c r="I115" s="372"/>
      <c r="J115" s="372"/>
      <c r="K115" s="372"/>
      <c r="L115" s="372"/>
      <c r="M115" s="372"/>
      <c r="N115" s="372"/>
      <c r="O115" s="372"/>
      <c r="P115" s="373"/>
      <c r="Q115" s="374"/>
      <c r="R115" s="374"/>
      <c r="S115" s="372"/>
      <c r="T115" s="375"/>
      <c r="U115" s="375"/>
      <c r="V115" s="372"/>
      <c r="W115" s="372"/>
      <c r="Y115" s="376"/>
      <c r="Z115" s="377"/>
      <c r="AA115" s="377"/>
      <c r="AB115" s="377"/>
      <c r="AC115" s="32"/>
      <c r="AD115" s="378"/>
      <c r="AE115" s="378"/>
      <c r="AF115" s="378"/>
      <c r="AG115" s="378"/>
      <c r="AI115" s="376"/>
      <c r="AJ115" s="376"/>
      <c r="AK115" s="376"/>
      <c r="AL115" s="376"/>
      <c r="AM115" s="376"/>
      <c r="AN115" s="376"/>
      <c r="AO115" s="376"/>
      <c r="AP115" s="376"/>
      <c r="AQ115" s="124"/>
      <c r="AR115" s="406" t="str">
        <f t="shared" si="1"/>
        <v/>
      </c>
      <c r="AS115" s="405"/>
      <c r="AT115" s="405"/>
    </row>
    <row r="116" spans="7:46" hidden="1" x14ac:dyDescent="0.6">
      <c r="G116" s="372"/>
      <c r="H116" s="372"/>
      <c r="I116" s="372"/>
      <c r="J116" s="372"/>
      <c r="K116" s="372"/>
      <c r="L116" s="372"/>
      <c r="M116" s="372"/>
      <c r="N116" s="372"/>
      <c r="O116" s="372"/>
      <c r="P116" s="373"/>
      <c r="Q116" s="374"/>
      <c r="R116" s="374"/>
      <c r="S116" s="372"/>
      <c r="T116" s="375"/>
      <c r="U116" s="375"/>
      <c r="V116" s="372"/>
      <c r="W116" s="372"/>
      <c r="Y116" s="376"/>
      <c r="Z116" s="377"/>
      <c r="AA116" s="377"/>
      <c r="AB116" s="377"/>
      <c r="AC116" s="32"/>
      <c r="AD116" s="378"/>
      <c r="AE116" s="378"/>
      <c r="AF116" s="378"/>
      <c r="AG116" s="378"/>
      <c r="AI116" s="376"/>
      <c r="AJ116" s="376"/>
      <c r="AK116" s="376"/>
      <c r="AL116" s="376"/>
      <c r="AM116" s="376"/>
      <c r="AN116" s="376"/>
      <c r="AO116" s="376"/>
      <c r="AP116" s="376"/>
      <c r="AQ116" s="124"/>
      <c r="AR116" s="406" t="str">
        <f t="shared" si="1"/>
        <v/>
      </c>
      <c r="AS116" s="405"/>
      <c r="AT116" s="405"/>
    </row>
    <row r="117" spans="7:46" hidden="1" x14ac:dyDescent="0.6">
      <c r="G117" s="372"/>
      <c r="H117" s="372"/>
      <c r="I117" s="372"/>
      <c r="J117" s="372"/>
      <c r="K117" s="372"/>
      <c r="L117" s="372"/>
      <c r="M117" s="372"/>
      <c r="N117" s="372"/>
      <c r="O117" s="372"/>
      <c r="P117" s="373"/>
      <c r="Q117" s="374"/>
      <c r="R117" s="374"/>
      <c r="S117" s="372"/>
      <c r="T117" s="375"/>
      <c r="U117" s="375"/>
      <c r="V117" s="372"/>
      <c r="W117" s="372"/>
      <c r="Y117" s="376"/>
      <c r="Z117" s="377"/>
      <c r="AA117" s="377"/>
      <c r="AB117" s="377"/>
      <c r="AC117" s="32"/>
      <c r="AD117" s="378"/>
      <c r="AE117" s="378"/>
      <c r="AF117" s="378"/>
      <c r="AG117" s="378"/>
      <c r="AI117" s="376"/>
      <c r="AJ117" s="376"/>
      <c r="AK117" s="376"/>
      <c r="AL117" s="376"/>
      <c r="AM117" s="376"/>
      <c r="AN117" s="376"/>
      <c r="AO117" s="376"/>
      <c r="AP117" s="376"/>
      <c r="AQ117" s="124"/>
      <c r="AR117" s="406" t="str">
        <f t="shared" si="1"/>
        <v/>
      </c>
      <c r="AS117" s="405"/>
      <c r="AT117" s="405"/>
    </row>
    <row r="118" spans="7:46" hidden="1" x14ac:dyDescent="0.6">
      <c r="G118" s="372"/>
      <c r="H118" s="372"/>
      <c r="I118" s="372"/>
      <c r="J118" s="372"/>
      <c r="K118" s="372"/>
      <c r="L118" s="372"/>
      <c r="M118" s="372"/>
      <c r="N118" s="372"/>
      <c r="O118" s="372"/>
      <c r="P118" s="373"/>
      <c r="Q118" s="374"/>
      <c r="R118" s="374"/>
      <c r="S118" s="372"/>
      <c r="T118" s="375"/>
      <c r="U118" s="375"/>
      <c r="V118" s="372"/>
      <c r="W118" s="372"/>
      <c r="Y118" s="376"/>
      <c r="Z118" s="377"/>
      <c r="AA118" s="377"/>
      <c r="AB118" s="377"/>
      <c r="AC118" s="32"/>
      <c r="AD118" s="378"/>
      <c r="AE118" s="378"/>
      <c r="AF118" s="378"/>
      <c r="AG118" s="378"/>
      <c r="AI118" s="376"/>
      <c r="AJ118" s="376"/>
      <c r="AK118" s="376"/>
      <c r="AL118" s="376"/>
      <c r="AM118" s="376"/>
      <c r="AN118" s="376"/>
      <c r="AO118" s="376"/>
      <c r="AP118" s="376"/>
      <c r="AQ118" s="124"/>
      <c r="AR118" s="406" t="str">
        <f t="shared" si="1"/>
        <v/>
      </c>
      <c r="AS118" s="405"/>
      <c r="AT118" s="405"/>
    </row>
    <row r="119" spans="7:46" hidden="1" x14ac:dyDescent="0.6">
      <c r="G119" s="372"/>
      <c r="H119" s="372"/>
      <c r="I119" s="372"/>
      <c r="J119" s="372"/>
      <c r="K119" s="372"/>
      <c r="L119" s="372"/>
      <c r="M119" s="372"/>
      <c r="N119" s="372"/>
      <c r="O119" s="372"/>
      <c r="P119" s="373"/>
      <c r="Q119" s="374"/>
      <c r="R119" s="374"/>
      <c r="S119" s="372"/>
      <c r="T119" s="375"/>
      <c r="U119" s="375"/>
      <c r="V119" s="372"/>
      <c r="W119" s="372"/>
      <c r="Y119" s="376"/>
      <c r="Z119" s="377"/>
      <c r="AA119" s="377"/>
      <c r="AB119" s="377"/>
      <c r="AC119" s="32"/>
      <c r="AD119" s="378"/>
      <c r="AE119" s="378"/>
      <c r="AF119" s="378"/>
      <c r="AG119" s="378"/>
      <c r="AI119" s="376"/>
      <c r="AJ119" s="376"/>
      <c r="AK119" s="376"/>
      <c r="AL119" s="376"/>
      <c r="AM119" s="376"/>
      <c r="AN119" s="376"/>
      <c r="AO119" s="376"/>
      <c r="AP119" s="376"/>
      <c r="AQ119" s="124"/>
      <c r="AR119" s="406" t="str">
        <f t="shared" si="1"/>
        <v/>
      </c>
      <c r="AS119" s="405"/>
      <c r="AT119" s="405"/>
    </row>
    <row r="120" spans="7:46" hidden="1" x14ac:dyDescent="0.6">
      <c r="G120" s="372"/>
      <c r="H120" s="372"/>
      <c r="I120" s="372"/>
      <c r="J120" s="372"/>
      <c r="K120" s="372"/>
      <c r="L120" s="372"/>
      <c r="M120" s="372"/>
      <c r="N120" s="372"/>
      <c r="O120" s="372"/>
      <c r="P120" s="373"/>
      <c r="Q120" s="374"/>
      <c r="R120" s="374"/>
      <c r="S120" s="372"/>
      <c r="T120" s="375"/>
      <c r="U120" s="375"/>
      <c r="V120" s="372"/>
      <c r="W120" s="372"/>
      <c r="Y120" s="376"/>
      <c r="Z120" s="377"/>
      <c r="AA120" s="377"/>
      <c r="AB120" s="377"/>
      <c r="AC120" s="32"/>
      <c r="AD120" s="378"/>
      <c r="AE120" s="378"/>
      <c r="AF120" s="378"/>
      <c r="AG120" s="378"/>
      <c r="AI120" s="376"/>
      <c r="AJ120" s="376"/>
      <c r="AK120" s="376"/>
      <c r="AL120" s="376"/>
      <c r="AM120" s="376"/>
      <c r="AN120" s="376"/>
      <c r="AO120" s="376"/>
      <c r="AP120" s="376"/>
      <c r="AQ120" s="124"/>
      <c r="AR120" s="406" t="str">
        <f t="shared" si="1"/>
        <v/>
      </c>
      <c r="AS120" s="405"/>
      <c r="AT120" s="405"/>
    </row>
    <row r="121" spans="7:46" hidden="1" x14ac:dyDescent="0.6">
      <c r="G121" s="372"/>
      <c r="H121" s="372"/>
      <c r="I121" s="372"/>
      <c r="J121" s="372"/>
      <c r="K121" s="372"/>
      <c r="L121" s="372"/>
      <c r="M121" s="372"/>
      <c r="N121" s="372"/>
      <c r="O121" s="372"/>
      <c r="P121" s="373"/>
      <c r="Q121" s="374"/>
      <c r="R121" s="374"/>
      <c r="S121" s="372"/>
      <c r="T121" s="375"/>
      <c r="U121" s="375"/>
      <c r="V121" s="372"/>
      <c r="W121" s="372"/>
      <c r="Y121" s="376"/>
      <c r="Z121" s="377"/>
      <c r="AA121" s="377"/>
      <c r="AB121" s="377"/>
      <c r="AC121" s="32"/>
      <c r="AD121" s="378"/>
      <c r="AE121" s="378"/>
      <c r="AF121" s="378"/>
      <c r="AG121" s="378"/>
      <c r="AI121" s="376"/>
      <c r="AJ121" s="376"/>
      <c r="AK121" s="376"/>
      <c r="AL121" s="376"/>
      <c r="AM121" s="376"/>
      <c r="AN121" s="376"/>
      <c r="AO121" s="376"/>
      <c r="AP121" s="376"/>
      <c r="AQ121" s="124"/>
      <c r="AR121" s="406" t="str">
        <f t="shared" si="1"/>
        <v/>
      </c>
      <c r="AS121" s="405"/>
      <c r="AT121" s="405"/>
    </row>
    <row r="122" spans="7:46" hidden="1" x14ac:dyDescent="0.6">
      <c r="G122" s="372"/>
      <c r="H122" s="372"/>
      <c r="I122" s="372"/>
      <c r="J122" s="372"/>
      <c r="K122" s="372"/>
      <c r="L122" s="372"/>
      <c r="M122" s="372"/>
      <c r="N122" s="372"/>
      <c r="O122" s="372"/>
      <c r="P122" s="373"/>
      <c r="Q122" s="374"/>
      <c r="R122" s="374"/>
      <c r="S122" s="372"/>
      <c r="T122" s="375"/>
      <c r="U122" s="375"/>
      <c r="V122" s="372"/>
      <c r="W122" s="372"/>
      <c r="Y122" s="376"/>
      <c r="Z122" s="377"/>
      <c r="AA122" s="377"/>
      <c r="AB122" s="377"/>
      <c r="AC122" s="32"/>
      <c r="AD122" s="378"/>
      <c r="AE122" s="378"/>
      <c r="AF122" s="378"/>
      <c r="AG122" s="378"/>
      <c r="AI122" s="376"/>
      <c r="AJ122" s="376"/>
      <c r="AK122" s="376"/>
      <c r="AL122" s="376"/>
      <c r="AM122" s="376"/>
      <c r="AN122" s="376"/>
      <c r="AO122" s="376"/>
      <c r="AP122" s="376"/>
      <c r="AQ122" s="124"/>
      <c r="AR122" s="406" t="str">
        <f t="shared" si="1"/>
        <v/>
      </c>
      <c r="AS122" s="405"/>
      <c r="AT122" s="405"/>
    </row>
    <row r="123" spans="7:46" hidden="1" x14ac:dyDescent="0.6">
      <c r="G123" s="372"/>
      <c r="H123" s="372"/>
      <c r="I123" s="372"/>
      <c r="J123" s="372"/>
      <c r="K123" s="372"/>
      <c r="L123" s="372"/>
      <c r="M123" s="372"/>
      <c r="N123" s="372"/>
      <c r="O123" s="372"/>
      <c r="P123" s="373"/>
      <c r="Q123" s="374"/>
      <c r="R123" s="374"/>
      <c r="S123" s="372"/>
      <c r="T123" s="375"/>
      <c r="U123" s="375"/>
      <c r="V123" s="372"/>
      <c r="W123" s="372"/>
      <c r="Y123" s="376"/>
      <c r="Z123" s="377"/>
      <c r="AA123" s="377"/>
      <c r="AB123" s="377"/>
      <c r="AC123" s="32"/>
      <c r="AD123" s="378"/>
      <c r="AE123" s="378"/>
      <c r="AF123" s="378"/>
      <c r="AG123" s="378"/>
      <c r="AI123" s="376"/>
      <c r="AJ123" s="376"/>
      <c r="AK123" s="376"/>
      <c r="AL123" s="376"/>
      <c r="AM123" s="376"/>
      <c r="AN123" s="376"/>
      <c r="AO123" s="376"/>
      <c r="AP123" s="376"/>
      <c r="AQ123" s="124"/>
      <c r="AR123" s="406" t="str">
        <f t="shared" si="1"/>
        <v/>
      </c>
      <c r="AS123" s="405"/>
      <c r="AT123" s="405"/>
    </row>
    <row r="124" spans="7:46" hidden="1" x14ac:dyDescent="0.6">
      <c r="G124" s="372"/>
      <c r="H124" s="372"/>
      <c r="I124" s="372"/>
      <c r="J124" s="372"/>
      <c r="K124" s="372"/>
      <c r="L124" s="372"/>
      <c r="M124" s="372"/>
      <c r="N124" s="372"/>
      <c r="O124" s="372"/>
      <c r="P124" s="373"/>
      <c r="Q124" s="374"/>
      <c r="R124" s="374"/>
      <c r="S124" s="372"/>
      <c r="T124" s="375"/>
      <c r="U124" s="375"/>
      <c r="V124" s="372"/>
      <c r="W124" s="372"/>
      <c r="Y124" s="376"/>
      <c r="Z124" s="377"/>
      <c r="AA124" s="377"/>
      <c r="AB124" s="377"/>
      <c r="AC124" s="32"/>
      <c r="AD124" s="378"/>
      <c r="AE124" s="378"/>
      <c r="AF124" s="378"/>
      <c r="AG124" s="378"/>
      <c r="AI124" s="376"/>
      <c r="AJ124" s="376"/>
      <c r="AK124" s="376"/>
      <c r="AL124" s="376"/>
      <c r="AM124" s="376"/>
      <c r="AN124" s="376"/>
      <c r="AO124" s="376"/>
      <c r="AP124" s="376"/>
      <c r="AQ124" s="124"/>
      <c r="AR124" s="406" t="str">
        <f t="shared" si="1"/>
        <v/>
      </c>
      <c r="AS124" s="405"/>
      <c r="AT124" s="405"/>
    </row>
    <row r="125" spans="7:46" hidden="1" x14ac:dyDescent="0.6">
      <c r="G125" s="372"/>
      <c r="H125" s="372"/>
      <c r="I125" s="372"/>
      <c r="J125" s="372"/>
      <c r="K125" s="372"/>
      <c r="L125" s="372"/>
      <c r="M125" s="372"/>
      <c r="N125" s="372"/>
      <c r="O125" s="372"/>
      <c r="P125" s="373"/>
      <c r="Q125" s="374"/>
      <c r="R125" s="374"/>
      <c r="S125" s="372"/>
      <c r="T125" s="375"/>
      <c r="U125" s="375"/>
      <c r="V125" s="372"/>
      <c r="W125" s="372"/>
      <c r="Y125" s="376"/>
      <c r="Z125" s="377"/>
      <c r="AA125" s="377"/>
      <c r="AB125" s="377"/>
      <c r="AC125" s="32"/>
      <c r="AD125" s="378"/>
      <c r="AE125" s="378"/>
      <c r="AF125" s="378"/>
      <c r="AG125" s="378"/>
      <c r="AI125" s="376"/>
      <c r="AJ125" s="376"/>
      <c r="AK125" s="376"/>
      <c r="AL125" s="376"/>
      <c r="AM125" s="376"/>
      <c r="AN125" s="376"/>
      <c r="AO125" s="376"/>
      <c r="AP125" s="376"/>
      <c r="AQ125" s="124"/>
      <c r="AR125" s="406" t="str">
        <f t="shared" si="1"/>
        <v/>
      </c>
      <c r="AS125" s="405"/>
      <c r="AT125" s="405"/>
    </row>
    <row r="126" spans="7:46" hidden="1" x14ac:dyDescent="0.6">
      <c r="G126" s="372"/>
      <c r="H126" s="372"/>
      <c r="I126" s="372"/>
      <c r="J126" s="372"/>
      <c r="K126" s="372"/>
      <c r="L126" s="372"/>
      <c r="M126" s="372"/>
      <c r="N126" s="372"/>
      <c r="O126" s="372"/>
      <c r="P126" s="373"/>
      <c r="Q126" s="374"/>
      <c r="R126" s="374"/>
      <c r="S126" s="372"/>
      <c r="T126" s="375"/>
      <c r="U126" s="375"/>
      <c r="V126" s="372"/>
      <c r="W126" s="372"/>
      <c r="Y126" s="376"/>
      <c r="Z126" s="377"/>
      <c r="AA126" s="377"/>
      <c r="AB126" s="377"/>
      <c r="AC126" s="32"/>
      <c r="AD126" s="378"/>
      <c r="AE126" s="378"/>
      <c r="AF126" s="378"/>
      <c r="AG126" s="378"/>
      <c r="AI126" s="376"/>
      <c r="AJ126" s="376"/>
      <c r="AK126" s="376"/>
      <c r="AL126" s="376"/>
      <c r="AM126" s="376"/>
      <c r="AN126" s="376"/>
      <c r="AO126" s="376"/>
      <c r="AP126" s="376"/>
      <c r="AQ126" s="124"/>
      <c r="AR126" s="406" t="str">
        <f t="shared" si="1"/>
        <v/>
      </c>
      <c r="AS126" s="405"/>
      <c r="AT126" s="405"/>
    </row>
    <row r="127" spans="7:46" hidden="1" x14ac:dyDescent="0.6">
      <c r="G127" s="372"/>
      <c r="H127" s="372"/>
      <c r="I127" s="372"/>
      <c r="J127" s="372"/>
      <c r="K127" s="372"/>
      <c r="L127" s="372"/>
      <c r="M127" s="372"/>
      <c r="N127" s="372"/>
      <c r="O127" s="372"/>
      <c r="P127" s="373"/>
      <c r="Q127" s="374"/>
      <c r="R127" s="374"/>
      <c r="S127" s="372"/>
      <c r="T127" s="375"/>
      <c r="U127" s="375"/>
      <c r="V127" s="372"/>
      <c r="W127" s="372"/>
      <c r="Y127" s="376"/>
      <c r="Z127" s="377"/>
      <c r="AA127" s="377"/>
      <c r="AB127" s="377"/>
      <c r="AC127" s="32"/>
      <c r="AD127" s="378"/>
      <c r="AE127" s="378"/>
      <c r="AF127" s="378"/>
      <c r="AG127" s="378"/>
      <c r="AI127" s="376"/>
      <c r="AJ127" s="376"/>
      <c r="AK127" s="376"/>
      <c r="AL127" s="376"/>
      <c r="AM127" s="376"/>
      <c r="AN127" s="376"/>
      <c r="AO127" s="376"/>
      <c r="AP127" s="376"/>
      <c r="AQ127" s="124"/>
      <c r="AR127" s="406" t="str">
        <f t="shared" si="1"/>
        <v/>
      </c>
      <c r="AS127" s="405"/>
      <c r="AT127" s="405"/>
    </row>
    <row r="128" spans="7:46" hidden="1" x14ac:dyDescent="0.6">
      <c r="G128" s="372"/>
      <c r="H128" s="372"/>
      <c r="I128" s="372"/>
      <c r="J128" s="372"/>
      <c r="K128" s="372"/>
      <c r="L128" s="372"/>
      <c r="M128" s="372"/>
      <c r="N128" s="372"/>
      <c r="O128" s="372"/>
      <c r="P128" s="373"/>
      <c r="Q128" s="374"/>
      <c r="R128" s="374"/>
      <c r="S128" s="372"/>
      <c r="T128" s="375"/>
      <c r="U128" s="375"/>
      <c r="V128" s="372"/>
      <c r="W128" s="372"/>
      <c r="Y128" s="376"/>
      <c r="Z128" s="377"/>
      <c r="AA128" s="377"/>
      <c r="AB128" s="377"/>
      <c r="AC128" s="32"/>
      <c r="AD128" s="378"/>
      <c r="AE128" s="378"/>
      <c r="AF128" s="378"/>
      <c r="AG128" s="378"/>
      <c r="AI128" s="376"/>
      <c r="AJ128" s="376"/>
      <c r="AK128" s="376"/>
      <c r="AL128" s="376"/>
      <c r="AM128" s="376"/>
      <c r="AN128" s="376"/>
      <c r="AO128" s="376"/>
      <c r="AP128" s="376"/>
      <c r="AQ128" s="124"/>
      <c r="AR128" s="406" t="str">
        <f t="shared" si="1"/>
        <v/>
      </c>
      <c r="AS128" s="405"/>
      <c r="AT128" s="405"/>
    </row>
    <row r="129" spans="7:46" hidden="1" x14ac:dyDescent="0.6">
      <c r="G129" s="372"/>
      <c r="H129" s="372"/>
      <c r="I129" s="372"/>
      <c r="J129" s="372"/>
      <c r="K129" s="372"/>
      <c r="L129" s="372"/>
      <c r="M129" s="372"/>
      <c r="N129" s="372"/>
      <c r="O129" s="372"/>
      <c r="P129" s="373"/>
      <c r="Q129" s="374"/>
      <c r="R129" s="374"/>
      <c r="S129" s="372"/>
      <c r="T129" s="375"/>
      <c r="U129" s="375"/>
      <c r="V129" s="372"/>
      <c r="W129" s="372"/>
      <c r="Y129" s="376"/>
      <c r="Z129" s="377"/>
      <c r="AA129" s="377"/>
      <c r="AB129" s="377"/>
      <c r="AC129" s="32"/>
      <c r="AD129" s="378"/>
      <c r="AE129" s="378"/>
      <c r="AF129" s="378"/>
      <c r="AG129" s="378"/>
      <c r="AI129" s="376"/>
      <c r="AJ129" s="376"/>
      <c r="AK129" s="376"/>
      <c r="AL129" s="376"/>
      <c r="AM129" s="376"/>
      <c r="AN129" s="376"/>
      <c r="AO129" s="376"/>
      <c r="AP129" s="376"/>
      <c r="AQ129" s="124"/>
      <c r="AR129" s="406" t="str">
        <f t="shared" si="1"/>
        <v/>
      </c>
      <c r="AS129" s="405"/>
      <c r="AT129" s="405"/>
    </row>
    <row r="130" spans="7:46" hidden="1" x14ac:dyDescent="0.6">
      <c r="G130" s="372"/>
      <c r="H130" s="372"/>
      <c r="I130" s="372"/>
      <c r="J130" s="372"/>
      <c r="K130" s="372"/>
      <c r="L130" s="372"/>
      <c r="M130" s="372"/>
      <c r="N130" s="372"/>
      <c r="O130" s="372"/>
      <c r="P130" s="373"/>
      <c r="Q130" s="374"/>
      <c r="R130" s="374"/>
      <c r="S130" s="372"/>
      <c r="T130" s="375"/>
      <c r="U130" s="375"/>
      <c r="V130" s="372"/>
      <c r="W130" s="372"/>
      <c r="Y130" s="376"/>
      <c r="Z130" s="377"/>
      <c r="AA130" s="377"/>
      <c r="AB130" s="377"/>
      <c r="AC130" s="32"/>
      <c r="AD130" s="378"/>
      <c r="AE130" s="378"/>
      <c r="AF130" s="378"/>
      <c r="AG130" s="378"/>
      <c r="AI130" s="376"/>
      <c r="AJ130" s="376"/>
      <c r="AK130" s="376"/>
      <c r="AL130" s="376"/>
      <c r="AM130" s="376"/>
      <c r="AN130" s="376"/>
      <c r="AO130" s="376"/>
      <c r="AP130" s="376"/>
      <c r="AQ130" s="124"/>
      <c r="AR130" s="406" t="str">
        <f t="shared" si="1"/>
        <v/>
      </c>
      <c r="AS130" s="405"/>
      <c r="AT130" s="405"/>
    </row>
    <row r="131" spans="7:46" hidden="1" x14ac:dyDescent="0.6">
      <c r="G131" s="372"/>
      <c r="H131" s="372"/>
      <c r="I131" s="372"/>
      <c r="J131" s="372"/>
      <c r="K131" s="372"/>
      <c r="L131" s="372"/>
      <c r="M131" s="372"/>
      <c r="N131" s="372"/>
      <c r="O131" s="372"/>
      <c r="P131" s="373"/>
      <c r="Q131" s="374"/>
      <c r="R131" s="374"/>
      <c r="S131" s="372"/>
      <c r="T131" s="375"/>
      <c r="U131" s="375"/>
      <c r="V131" s="372"/>
      <c r="W131" s="372"/>
      <c r="Y131" s="376"/>
      <c r="Z131" s="377"/>
      <c r="AA131" s="377"/>
      <c r="AB131" s="377"/>
      <c r="AC131" s="32"/>
      <c r="AD131" s="378"/>
      <c r="AE131" s="378"/>
      <c r="AF131" s="378"/>
      <c r="AG131" s="378"/>
      <c r="AI131" s="376"/>
      <c r="AJ131" s="376"/>
      <c r="AK131" s="376"/>
      <c r="AL131" s="376"/>
      <c r="AM131" s="376"/>
      <c r="AN131" s="376"/>
      <c r="AO131" s="376"/>
      <c r="AP131" s="376"/>
      <c r="AQ131" s="124"/>
      <c r="AR131" s="406" t="str">
        <f t="shared" si="1"/>
        <v/>
      </c>
      <c r="AS131" s="405"/>
      <c r="AT131" s="405"/>
    </row>
    <row r="132" spans="7:46" hidden="1" x14ac:dyDescent="0.6">
      <c r="G132" s="372"/>
      <c r="H132" s="372"/>
      <c r="I132" s="372"/>
      <c r="J132" s="372"/>
      <c r="K132" s="372"/>
      <c r="L132" s="372"/>
      <c r="M132" s="372"/>
      <c r="N132" s="372"/>
      <c r="O132" s="372"/>
      <c r="P132" s="373"/>
      <c r="Q132" s="374"/>
      <c r="R132" s="374"/>
      <c r="S132" s="372"/>
      <c r="T132" s="375"/>
      <c r="U132" s="375"/>
      <c r="V132" s="372"/>
      <c r="W132" s="372"/>
      <c r="Y132" s="376"/>
      <c r="Z132" s="377"/>
      <c r="AA132" s="377"/>
      <c r="AB132" s="377"/>
      <c r="AC132" s="32"/>
      <c r="AD132" s="378"/>
      <c r="AE132" s="378"/>
      <c r="AF132" s="378"/>
      <c r="AG132" s="378"/>
      <c r="AI132" s="376"/>
      <c r="AJ132" s="376"/>
      <c r="AK132" s="376"/>
      <c r="AL132" s="376"/>
      <c r="AM132" s="376"/>
      <c r="AN132" s="376"/>
      <c r="AO132" s="376"/>
      <c r="AP132" s="376"/>
      <c r="AQ132" s="124"/>
      <c r="AR132" s="406" t="str">
        <f t="shared" si="1"/>
        <v/>
      </c>
      <c r="AS132" s="405"/>
      <c r="AT132" s="405"/>
    </row>
    <row r="133" spans="7:46" hidden="1" x14ac:dyDescent="0.6">
      <c r="G133" s="372"/>
      <c r="H133" s="372"/>
      <c r="I133" s="372"/>
      <c r="J133" s="372"/>
      <c r="K133" s="372"/>
      <c r="L133" s="372"/>
      <c r="M133" s="372"/>
      <c r="N133" s="372"/>
      <c r="O133" s="372"/>
      <c r="P133" s="373"/>
      <c r="Q133" s="374"/>
      <c r="R133" s="374"/>
      <c r="S133" s="372"/>
      <c r="T133" s="375"/>
      <c r="U133" s="375"/>
      <c r="V133" s="372"/>
      <c r="W133" s="372"/>
      <c r="Y133" s="376"/>
      <c r="Z133" s="377"/>
      <c r="AA133" s="377"/>
      <c r="AB133" s="377"/>
      <c r="AC133" s="32"/>
      <c r="AD133" s="378"/>
      <c r="AE133" s="378"/>
      <c r="AF133" s="378"/>
      <c r="AG133" s="378"/>
      <c r="AI133" s="376"/>
      <c r="AJ133" s="376"/>
      <c r="AK133" s="376"/>
      <c r="AL133" s="376"/>
      <c r="AM133" s="376"/>
      <c r="AN133" s="376"/>
      <c r="AO133" s="376"/>
      <c r="AP133" s="376"/>
      <c r="AQ133" s="124"/>
      <c r="AR133" s="406" t="str">
        <f t="shared" si="1"/>
        <v/>
      </c>
      <c r="AS133" s="405"/>
      <c r="AT133" s="405"/>
    </row>
    <row r="134" spans="7:46" hidden="1" x14ac:dyDescent="0.6">
      <c r="G134" s="372"/>
      <c r="H134" s="372"/>
      <c r="I134" s="372"/>
      <c r="J134" s="372"/>
      <c r="K134" s="372"/>
      <c r="L134" s="372"/>
      <c r="M134" s="372"/>
      <c r="N134" s="372"/>
      <c r="O134" s="372"/>
      <c r="P134" s="373"/>
      <c r="Q134" s="374"/>
      <c r="R134" s="374"/>
      <c r="S134" s="372"/>
      <c r="T134" s="375"/>
      <c r="U134" s="375"/>
      <c r="V134" s="372"/>
      <c r="W134" s="372"/>
      <c r="Y134" s="376"/>
      <c r="Z134" s="377"/>
      <c r="AA134" s="377"/>
      <c r="AB134" s="377"/>
      <c r="AC134" s="32"/>
      <c r="AD134" s="378"/>
      <c r="AE134" s="378"/>
      <c r="AF134" s="378"/>
      <c r="AG134" s="378"/>
      <c r="AI134" s="376"/>
      <c r="AJ134" s="376"/>
      <c r="AK134" s="376"/>
      <c r="AL134" s="376"/>
      <c r="AM134" s="376"/>
      <c r="AN134" s="376"/>
      <c r="AO134" s="376"/>
      <c r="AP134" s="376"/>
      <c r="AQ134" s="124"/>
      <c r="AR134" s="406" t="str">
        <f t="shared" si="1"/>
        <v/>
      </c>
      <c r="AS134" s="405"/>
      <c r="AT134" s="405"/>
    </row>
    <row r="135" spans="7:46" hidden="1" x14ac:dyDescent="0.6">
      <c r="G135" s="372"/>
      <c r="H135" s="372"/>
      <c r="I135" s="372"/>
      <c r="J135" s="372"/>
      <c r="K135" s="372"/>
      <c r="L135" s="372"/>
      <c r="M135" s="372"/>
      <c r="N135" s="372"/>
      <c r="O135" s="372"/>
      <c r="P135" s="373"/>
      <c r="Q135" s="374"/>
      <c r="R135" s="374"/>
      <c r="S135" s="372"/>
      <c r="T135" s="375"/>
      <c r="U135" s="375"/>
      <c r="V135" s="372"/>
      <c r="W135" s="372"/>
      <c r="Y135" s="376"/>
      <c r="Z135" s="377"/>
      <c r="AA135" s="377"/>
      <c r="AB135" s="377"/>
      <c r="AC135" s="32"/>
      <c r="AD135" s="378"/>
      <c r="AE135" s="378"/>
      <c r="AF135" s="378"/>
      <c r="AG135" s="378"/>
      <c r="AI135" s="376"/>
      <c r="AJ135" s="376"/>
      <c r="AK135" s="376"/>
      <c r="AL135" s="376"/>
      <c r="AM135" s="376"/>
      <c r="AN135" s="376"/>
      <c r="AO135" s="376"/>
      <c r="AP135" s="376"/>
      <c r="AQ135" s="124"/>
      <c r="AR135" s="406" t="str">
        <f t="shared" si="1"/>
        <v/>
      </c>
      <c r="AS135" s="405"/>
      <c r="AT135" s="405"/>
    </row>
    <row r="136" spans="7:46" hidden="1" x14ac:dyDescent="0.6">
      <c r="G136" s="372"/>
      <c r="H136" s="372"/>
      <c r="I136" s="372"/>
      <c r="J136" s="372"/>
      <c r="K136" s="372"/>
      <c r="L136" s="372"/>
      <c r="M136" s="372"/>
      <c r="N136" s="372"/>
      <c r="O136" s="372"/>
      <c r="P136" s="373"/>
      <c r="Q136" s="374"/>
      <c r="R136" s="374"/>
      <c r="S136" s="372"/>
      <c r="T136" s="375"/>
      <c r="U136" s="375"/>
      <c r="V136" s="372"/>
      <c r="W136" s="372"/>
      <c r="Y136" s="376"/>
      <c r="Z136" s="377"/>
      <c r="AA136" s="377"/>
      <c r="AB136" s="377"/>
      <c r="AC136" s="32"/>
      <c r="AD136" s="378"/>
      <c r="AE136" s="378"/>
      <c r="AF136" s="378"/>
      <c r="AG136" s="378"/>
      <c r="AI136" s="376"/>
      <c r="AJ136" s="376"/>
      <c r="AK136" s="376"/>
      <c r="AL136" s="376"/>
      <c r="AM136" s="376"/>
      <c r="AN136" s="376"/>
      <c r="AO136" s="376"/>
      <c r="AP136" s="376"/>
      <c r="AQ136" s="124"/>
      <c r="AR136" s="406" t="str">
        <f t="shared" si="1"/>
        <v/>
      </c>
      <c r="AS136" s="405"/>
      <c r="AT136" s="405"/>
    </row>
    <row r="137" spans="7:46" hidden="1" x14ac:dyDescent="0.6">
      <c r="G137" s="372"/>
      <c r="H137" s="372"/>
      <c r="I137" s="372"/>
      <c r="J137" s="372"/>
      <c r="K137" s="372"/>
      <c r="L137" s="372"/>
      <c r="M137" s="372"/>
      <c r="N137" s="372"/>
      <c r="O137" s="372"/>
      <c r="P137" s="373"/>
      <c r="Q137" s="374"/>
      <c r="R137" s="374"/>
      <c r="S137" s="372"/>
      <c r="T137" s="375"/>
      <c r="U137" s="375"/>
      <c r="V137" s="372"/>
      <c r="W137" s="372"/>
      <c r="Y137" s="376"/>
      <c r="Z137" s="377"/>
      <c r="AA137" s="377"/>
      <c r="AB137" s="377"/>
      <c r="AC137" s="32"/>
      <c r="AD137" s="378"/>
      <c r="AE137" s="378"/>
      <c r="AF137" s="378"/>
      <c r="AG137" s="378"/>
      <c r="AI137" s="376"/>
      <c r="AJ137" s="376"/>
      <c r="AK137" s="376"/>
      <c r="AL137" s="376"/>
      <c r="AM137" s="376"/>
      <c r="AN137" s="376"/>
      <c r="AO137" s="376"/>
      <c r="AP137" s="376"/>
      <c r="AQ137" s="124"/>
      <c r="AR137" s="406" t="str">
        <f t="shared" si="1"/>
        <v/>
      </c>
      <c r="AS137" s="405"/>
      <c r="AT137" s="405"/>
    </row>
    <row r="138" spans="7:46" hidden="1" x14ac:dyDescent="0.6">
      <c r="G138" s="372"/>
      <c r="H138" s="372"/>
      <c r="I138" s="372"/>
      <c r="J138" s="372"/>
      <c r="K138" s="372"/>
      <c r="L138" s="372"/>
      <c r="M138" s="372"/>
      <c r="N138" s="372"/>
      <c r="O138" s="372"/>
      <c r="P138" s="373"/>
      <c r="Q138" s="374"/>
      <c r="R138" s="374"/>
      <c r="S138" s="372"/>
      <c r="T138" s="375"/>
      <c r="U138" s="375"/>
      <c r="V138" s="372"/>
      <c r="W138" s="372"/>
      <c r="Y138" s="376"/>
      <c r="Z138" s="377"/>
      <c r="AA138" s="377"/>
      <c r="AB138" s="377"/>
      <c r="AC138" s="32"/>
      <c r="AD138" s="378"/>
      <c r="AE138" s="378"/>
      <c r="AF138" s="378"/>
      <c r="AG138" s="378"/>
      <c r="AI138" s="376"/>
      <c r="AJ138" s="376"/>
      <c r="AK138" s="376"/>
      <c r="AL138" s="376"/>
      <c r="AM138" s="376"/>
      <c r="AN138" s="376"/>
      <c r="AO138" s="376"/>
      <c r="AP138" s="376"/>
      <c r="AQ138" s="124"/>
      <c r="AR138" s="406" t="str">
        <f t="shared" si="1"/>
        <v/>
      </c>
      <c r="AS138" s="405"/>
      <c r="AT138" s="405"/>
    </row>
    <row r="139" spans="7:46" hidden="1" x14ac:dyDescent="0.6">
      <c r="G139" s="372"/>
      <c r="H139" s="372"/>
      <c r="I139" s="372"/>
      <c r="J139" s="372"/>
      <c r="K139" s="372"/>
      <c r="L139" s="372"/>
      <c r="M139" s="372"/>
      <c r="N139" s="372"/>
      <c r="O139" s="372"/>
      <c r="P139" s="373"/>
      <c r="Q139" s="374"/>
      <c r="R139" s="374"/>
      <c r="S139" s="372"/>
      <c r="T139" s="375"/>
      <c r="U139" s="375"/>
      <c r="V139" s="372"/>
      <c r="W139" s="372"/>
      <c r="Y139" s="376"/>
      <c r="Z139" s="377"/>
      <c r="AA139" s="377"/>
      <c r="AB139" s="377"/>
      <c r="AC139" s="32"/>
      <c r="AD139" s="378"/>
      <c r="AE139" s="378"/>
      <c r="AF139" s="378"/>
      <c r="AG139" s="378"/>
      <c r="AI139" s="376"/>
      <c r="AJ139" s="376"/>
      <c r="AK139" s="376"/>
      <c r="AL139" s="376"/>
      <c r="AM139" s="376"/>
      <c r="AN139" s="376"/>
      <c r="AO139" s="376"/>
      <c r="AP139" s="376"/>
      <c r="AQ139" s="124"/>
      <c r="AR139" s="406" t="str">
        <f t="shared" ref="AR139:AR141" si="2">IF(AQ139="","",MAX(AG139,AQ139))</f>
        <v/>
      </c>
      <c r="AS139" s="405"/>
      <c r="AT139" s="405"/>
    </row>
    <row r="140" spans="7:46" hidden="1" x14ac:dyDescent="0.6">
      <c r="G140" s="372"/>
      <c r="H140" s="372"/>
      <c r="I140" s="372"/>
      <c r="J140" s="372"/>
      <c r="K140" s="372"/>
      <c r="L140" s="372"/>
      <c r="M140" s="372"/>
      <c r="N140" s="372"/>
      <c r="O140" s="372"/>
      <c r="P140" s="373"/>
      <c r="Q140" s="374"/>
      <c r="R140" s="374"/>
      <c r="S140" s="372"/>
      <c r="T140" s="375"/>
      <c r="U140" s="375"/>
      <c r="V140" s="372"/>
      <c r="W140" s="372"/>
      <c r="Y140" s="376"/>
      <c r="Z140" s="377"/>
      <c r="AA140" s="377"/>
      <c r="AB140" s="377"/>
      <c r="AC140" s="32"/>
      <c r="AD140" s="378"/>
      <c r="AE140" s="378"/>
      <c r="AF140" s="378"/>
      <c r="AG140" s="378"/>
      <c r="AI140" s="376"/>
      <c r="AJ140" s="376"/>
      <c r="AK140" s="376"/>
      <c r="AL140" s="376"/>
      <c r="AM140" s="376"/>
      <c r="AN140" s="376"/>
      <c r="AO140" s="376"/>
      <c r="AP140" s="376"/>
      <c r="AQ140" s="124"/>
      <c r="AR140" s="406" t="str">
        <f t="shared" si="2"/>
        <v/>
      </c>
      <c r="AS140" s="405"/>
      <c r="AT140" s="405"/>
    </row>
    <row r="141" spans="7:46" hidden="1" x14ac:dyDescent="0.6">
      <c r="G141" s="372"/>
      <c r="H141" s="372"/>
      <c r="I141" s="372"/>
      <c r="J141" s="372"/>
      <c r="K141" s="372"/>
      <c r="L141" s="372"/>
      <c r="M141" s="372"/>
      <c r="N141" s="372"/>
      <c r="O141" s="372"/>
      <c r="P141" s="373"/>
      <c r="Q141" s="374"/>
      <c r="R141" s="374"/>
      <c r="S141" s="372"/>
      <c r="T141" s="375"/>
      <c r="U141" s="375"/>
      <c r="V141" s="372"/>
      <c r="W141" s="372"/>
      <c r="Y141" s="376"/>
      <c r="Z141" s="377"/>
      <c r="AA141" s="377"/>
      <c r="AB141" s="377"/>
      <c r="AC141" s="32"/>
      <c r="AD141" s="378"/>
      <c r="AE141" s="378"/>
      <c r="AF141" s="378"/>
      <c r="AG141" s="378"/>
      <c r="AI141" s="376"/>
      <c r="AJ141" s="376"/>
      <c r="AK141" s="376"/>
      <c r="AL141" s="376"/>
      <c r="AM141" s="376"/>
      <c r="AN141" s="376"/>
      <c r="AO141" s="376"/>
      <c r="AP141" s="376"/>
      <c r="AQ141" s="124"/>
      <c r="AR141" s="406" t="str">
        <f t="shared" si="2"/>
        <v/>
      </c>
      <c r="AS141" s="405"/>
      <c r="AT141" s="405"/>
    </row>
    <row r="142" spans="7:46" hidden="1" x14ac:dyDescent="0.6">
      <c r="G142" s="372"/>
      <c r="H142" s="372"/>
      <c r="I142" s="372"/>
      <c r="J142" s="372"/>
      <c r="K142" s="372"/>
      <c r="L142" s="372"/>
      <c r="M142" s="372"/>
      <c r="N142" s="372"/>
      <c r="O142" s="372"/>
      <c r="P142" s="373"/>
      <c r="Q142" s="374"/>
      <c r="R142" s="374"/>
      <c r="S142" s="372"/>
      <c r="T142" s="375"/>
      <c r="U142" s="375"/>
      <c r="V142" s="372"/>
      <c r="W142" s="372"/>
      <c r="Y142" s="376"/>
      <c r="Z142" s="377"/>
      <c r="AA142" s="377"/>
      <c r="AB142" s="377"/>
      <c r="AC142" s="32"/>
      <c r="AD142" s="378"/>
      <c r="AE142" s="378"/>
      <c r="AF142" s="378"/>
      <c r="AG142" s="378"/>
      <c r="AI142" s="376"/>
      <c r="AJ142" s="376"/>
      <c r="AK142" s="376"/>
      <c r="AL142" s="376"/>
      <c r="AM142" s="376"/>
      <c r="AN142" s="376"/>
      <c r="AO142" s="376"/>
      <c r="AP142" s="376"/>
      <c r="AQ142" s="124"/>
      <c r="AR142" s="407"/>
      <c r="AS142" s="405"/>
      <c r="AT142" s="405"/>
    </row>
    <row r="143" spans="7:46" hidden="1" x14ac:dyDescent="0.6">
      <c r="G143" s="372"/>
      <c r="H143" s="372"/>
      <c r="I143" s="372"/>
      <c r="J143" s="372"/>
      <c r="K143" s="372"/>
      <c r="L143" s="372"/>
      <c r="M143" s="372"/>
      <c r="N143" s="372"/>
      <c r="O143" s="372"/>
      <c r="P143" s="373"/>
      <c r="Q143" s="374"/>
      <c r="R143" s="374"/>
      <c r="S143" s="372"/>
      <c r="T143" s="375"/>
      <c r="U143" s="375"/>
      <c r="V143" s="372"/>
      <c r="W143" s="372"/>
      <c r="Y143" s="376"/>
      <c r="Z143" s="377"/>
      <c r="AA143" s="377"/>
      <c r="AB143" s="377"/>
      <c r="AC143" s="32"/>
      <c r="AD143" s="378"/>
      <c r="AE143" s="378"/>
      <c r="AF143" s="378"/>
      <c r="AG143" s="378"/>
      <c r="AI143" s="376"/>
      <c r="AJ143" s="376"/>
      <c r="AK143" s="376"/>
      <c r="AL143" s="376"/>
      <c r="AM143" s="376"/>
      <c r="AN143" s="376"/>
      <c r="AO143" s="376"/>
      <c r="AP143" s="376"/>
      <c r="AQ143" s="124"/>
      <c r="AR143" s="407"/>
      <c r="AS143" s="405"/>
      <c r="AT143" s="405"/>
    </row>
    <row r="144" spans="7:46" hidden="1" x14ac:dyDescent="0.6">
      <c r="G144" s="372"/>
      <c r="H144" s="372"/>
      <c r="I144" s="372"/>
      <c r="J144" s="372"/>
      <c r="K144" s="372"/>
      <c r="L144" s="372"/>
      <c r="M144" s="372"/>
      <c r="N144" s="372"/>
      <c r="O144" s="372"/>
      <c r="P144" s="373"/>
      <c r="Q144" s="374"/>
      <c r="R144" s="374"/>
      <c r="S144" s="372"/>
      <c r="T144" s="375"/>
      <c r="U144" s="375"/>
      <c r="V144" s="372"/>
      <c r="W144" s="372"/>
      <c r="Y144" s="376"/>
      <c r="Z144" s="377"/>
      <c r="AA144" s="377"/>
      <c r="AB144" s="377"/>
      <c r="AC144" s="32"/>
      <c r="AD144" s="378"/>
      <c r="AE144" s="378"/>
      <c r="AF144" s="378"/>
      <c r="AG144" s="378"/>
      <c r="AI144" s="376"/>
      <c r="AJ144" s="376"/>
      <c r="AK144" s="376"/>
      <c r="AL144" s="376"/>
      <c r="AM144" s="376"/>
      <c r="AN144" s="376"/>
      <c r="AO144" s="376"/>
      <c r="AP144" s="376"/>
      <c r="AQ144" s="124"/>
      <c r="AR144" s="407"/>
      <c r="AS144" s="405"/>
      <c r="AT144" s="405"/>
    </row>
    <row r="145" spans="7:46" hidden="1" x14ac:dyDescent="0.6">
      <c r="G145" s="372"/>
      <c r="H145" s="372"/>
      <c r="I145" s="372"/>
      <c r="J145" s="372"/>
      <c r="K145" s="372"/>
      <c r="L145" s="372"/>
      <c r="M145" s="372"/>
      <c r="N145" s="372"/>
      <c r="O145" s="372"/>
      <c r="P145" s="373"/>
      <c r="Q145" s="374"/>
      <c r="R145" s="374"/>
      <c r="S145" s="372"/>
      <c r="T145" s="375"/>
      <c r="U145" s="375"/>
      <c r="V145" s="372"/>
      <c r="W145" s="372"/>
      <c r="Y145" s="376"/>
      <c r="Z145" s="377"/>
      <c r="AA145" s="377"/>
      <c r="AB145" s="377"/>
      <c r="AC145" s="32"/>
      <c r="AD145" s="378"/>
      <c r="AE145" s="378"/>
      <c r="AF145" s="378"/>
      <c r="AG145" s="378"/>
      <c r="AI145" s="376"/>
      <c r="AJ145" s="376"/>
      <c r="AK145" s="376"/>
      <c r="AL145" s="376"/>
      <c r="AM145" s="376"/>
      <c r="AN145" s="376"/>
      <c r="AO145" s="376"/>
      <c r="AP145" s="376"/>
      <c r="AQ145" s="124"/>
      <c r="AR145" s="407"/>
      <c r="AS145" s="405"/>
      <c r="AT145" s="405"/>
    </row>
    <row r="146" spans="7:46" hidden="1" x14ac:dyDescent="0.6">
      <c r="AQ146" s="405"/>
      <c r="AR146" s="407"/>
      <c r="AS146" s="405"/>
      <c r="AT146" s="405"/>
    </row>
    <row r="147" spans="7:46" hidden="1" x14ac:dyDescent="0.6">
      <c r="AQ147" s="405"/>
      <c r="AR147" s="407"/>
      <c r="AS147" s="405"/>
      <c r="AT147" s="405"/>
    </row>
    <row r="148" spans="7:46" hidden="1" x14ac:dyDescent="0.6">
      <c r="AQ148" s="405"/>
      <c r="AR148" s="407"/>
      <c r="AS148" s="405"/>
      <c r="AT148" s="405"/>
    </row>
    <row r="149" spans="7:46" hidden="1" x14ac:dyDescent="0.6">
      <c r="AQ149" s="405"/>
      <c r="AR149" s="407"/>
      <c r="AS149" s="405"/>
      <c r="AT149" s="405"/>
    </row>
    <row r="150" spans="7:46" hidden="1" x14ac:dyDescent="0.6">
      <c r="AQ150" s="405"/>
      <c r="AR150" s="407"/>
      <c r="AS150" s="405"/>
      <c r="AT150" s="405"/>
    </row>
    <row r="151" spans="7:46" hidden="1" x14ac:dyDescent="0.6">
      <c r="AQ151" s="405"/>
      <c r="AR151" s="407"/>
      <c r="AS151" s="405"/>
      <c r="AT151" s="405"/>
    </row>
  </sheetData>
  <mergeCells count="14">
    <mergeCell ref="D5:E5"/>
    <mergeCell ref="B7:E9"/>
    <mergeCell ref="Y7:AG7"/>
    <mergeCell ref="AI7:AQ7"/>
    <mergeCell ref="G7:H7"/>
    <mergeCell ref="I7:L7"/>
    <mergeCell ref="M7:O7"/>
    <mergeCell ref="P7:T7"/>
    <mergeCell ref="V7:W7"/>
    <mergeCell ref="BC7:BG7"/>
    <mergeCell ref="AQ2:AQ3"/>
    <mergeCell ref="AQ4:AQ5"/>
    <mergeCell ref="AS7:AW7"/>
    <mergeCell ref="AX7:BB7"/>
  </mergeCells>
  <phoneticPr fontId="26" type="noConversion"/>
  <conditionalFormatting sqref="BH10:BH72">
    <cfRule type="containsText" dxfId="11" priority="8" operator="containsText" text="erfüllt">
      <formula>NOT(ISERROR(SEARCH("erfüllt",BH10)))</formula>
    </cfRule>
    <cfRule type="containsText" dxfId="10" priority="12" operator="containsText" text="erbracht">
      <formula>NOT(ISERROR(SEARCH("erbracht",BH10)))</formula>
    </cfRule>
    <cfRule type="containsText" dxfId="9" priority="13" operator="containsText" text="Grenze">
      <formula>NOT(ISERROR(SEARCH("Grenze",BH10)))</formula>
    </cfRule>
  </conditionalFormatting>
  <conditionalFormatting sqref="AQ10:AQ72">
    <cfRule type="expression" dxfId="8" priority="2">
      <formula>AND($AQ10=$BL10,$AQ10 &lt;&gt;"",$AQ10&gt;$D$34)</formula>
    </cfRule>
    <cfRule type="expression" dxfId="7" priority="3">
      <formula>AND($AQ10=$BL10,$AQ10 &lt;&gt;"",$AQ10&lt;=$D$34,$AQ10&gt;=$D$35)</formula>
    </cfRule>
    <cfRule type="expression" dxfId="6" priority="7">
      <formula>AND($AQ10=$BL10,$AQ10 &lt;&gt;"",$AQ10&lt;$D$35)</formula>
    </cfRule>
  </conditionalFormatting>
  <conditionalFormatting sqref="AG10:AG72">
    <cfRule type="expression" dxfId="5" priority="1">
      <formula>AND($AG10=$BL10,$AG10&lt;&gt;"",$AG10&gt;$D$34)</formula>
    </cfRule>
    <cfRule type="expression" dxfId="4" priority="4">
      <formula>AND($AG10=$BL10,$AG10&lt;&gt;"",$AG10&lt;=$D$34,$AG10&gt;=$D$35)</formula>
    </cfRule>
    <cfRule type="expression" dxfId="3" priority="5">
      <formula>AND($AG10=$BL10,$AG10&lt;&gt;"",$AG10&lt;$D$35)</formula>
    </cfRule>
  </conditionalFormatting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xr:uid="{D04591A9-9866-40F8-A934-C07C1ADC5671}">
          <x14:formula1>
            <xm:f>'Listen und Kennwerte'!#REF!</xm:f>
          </x14:formula1>
          <xm:sqref>J9:K9 I14:I72 I8:I9 L8:L9</xm:sqref>
        </x14:dataValidation>
        <x14:dataValidation type="list" allowBlank="1" showInputMessage="1" showErrorMessage="1" xr:uid="{1D03C9A4-74E0-4367-84F6-4566715F36D6}">
          <x14:formula1>
            <xm:f>'Listen und Kennwerte'!#REF!</xm:f>
          </x14:formula1>
          <xm:sqref>D25:D26</xm:sqref>
        </x14:dataValidation>
        <x14:dataValidation type="list" allowBlank="1" showInputMessage="1" showErrorMessage="1" xr:uid="{554B4F71-8BC7-4DF7-96FD-8B4D9E6DF430}">
          <x14:formula1>
            <xm:f>'Listen und Kennwerte'!#REF!</xm:f>
          </x14:formula1>
          <xm:sqref>P10:P72</xm:sqref>
        </x14:dataValidation>
        <x14:dataValidation type="list" allowBlank="1" showInputMessage="1" showErrorMessage="1" xr:uid="{B93AB599-888E-4B51-8689-191456E119DC}">
          <x14:formula1>
            <xm:f>'Listen und Kennwerte'!$Q$4:$Q$8</xm:f>
          </x14:formula1>
          <xm:sqref>I10:I72</xm:sqref>
        </x14:dataValidation>
        <x14:dataValidation type="list" allowBlank="1" showInputMessage="1" showErrorMessage="1" xr:uid="{0199B15B-B0D3-408F-8535-8DFCB0EF7069}">
          <x14:formula1>
            <xm:f>'Listen und Kennwerte'!$S$4:$S$8</xm:f>
          </x14:formula1>
          <xm:sqref>H8:H59</xm:sqref>
        </x14:dataValidation>
        <x14:dataValidation type="list" allowBlank="1" showInputMessage="1" showErrorMessage="1" xr:uid="{727F98EC-BA42-4C07-9F11-E000E962A985}">
          <x14:formula1>
            <xm:f>'Listen und Kennwerte'!$S$5:$S$8</xm:f>
          </x14:formula1>
          <xm:sqref>D13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6B8BD9-6977-441A-83E7-5197A3DB4B07}">
  <sheetPr codeName="Sheet6">
    <tabColor theme="1"/>
  </sheetPr>
  <dimension ref="B1:AA145"/>
  <sheetViews>
    <sheetView showGridLines="0" topLeftCell="D1" zoomScale="85" zoomScaleNormal="85" workbookViewId="0">
      <selection activeCell="Q9" sqref="Q9"/>
    </sheetView>
  </sheetViews>
  <sheetFormatPr defaultRowHeight="15.6" x14ac:dyDescent="0.6"/>
  <cols>
    <col min="1" max="1" width="2.84765625" customWidth="1"/>
    <col min="3" max="5" width="8.796875" customWidth="1"/>
    <col min="6" max="6" width="10.5" customWidth="1"/>
    <col min="7" max="12" width="8.796875" customWidth="1"/>
    <col min="13" max="13" width="11.3984375" customWidth="1"/>
    <col min="17" max="24" width="8.796875" customWidth="1"/>
    <col min="25" max="25" width="1.6484375" customWidth="1"/>
    <col min="26" max="27" width="10.69921875" customWidth="1"/>
  </cols>
  <sheetData>
    <row r="1" spans="2:27" s="34" customFormat="1" x14ac:dyDescent="0.6">
      <c r="B1" s="33">
        <v>2</v>
      </c>
      <c r="C1" s="34">
        <v>3</v>
      </c>
      <c r="D1" s="33">
        <v>4</v>
      </c>
      <c r="E1" s="34">
        <v>5</v>
      </c>
      <c r="F1" s="33">
        <v>6</v>
      </c>
      <c r="G1" s="34">
        <v>7</v>
      </c>
      <c r="H1" s="33">
        <v>8</v>
      </c>
      <c r="I1" s="34">
        <v>9</v>
      </c>
      <c r="J1" s="33">
        <v>10</v>
      </c>
      <c r="K1" s="34">
        <v>11</v>
      </c>
      <c r="L1" s="33">
        <v>12</v>
      </c>
      <c r="M1" s="34">
        <v>13</v>
      </c>
      <c r="N1" s="33">
        <v>14</v>
      </c>
      <c r="O1" s="34">
        <v>15</v>
      </c>
      <c r="P1" s="33">
        <v>16</v>
      </c>
      <c r="Q1" s="34">
        <v>17</v>
      </c>
      <c r="R1" s="33">
        <v>18</v>
      </c>
      <c r="S1" s="34">
        <v>19</v>
      </c>
      <c r="T1" s="33">
        <v>20</v>
      </c>
      <c r="U1" s="34">
        <v>21</v>
      </c>
      <c r="V1" s="33">
        <v>22</v>
      </c>
      <c r="W1" s="34">
        <v>23</v>
      </c>
      <c r="X1" s="33">
        <v>24</v>
      </c>
    </row>
    <row r="2" spans="2:27" x14ac:dyDescent="0.6">
      <c r="B2" s="35" t="s">
        <v>15</v>
      </c>
      <c r="C2" s="16"/>
      <c r="D2" s="36" t="s">
        <v>116</v>
      </c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</row>
    <row r="3" spans="2:27" x14ac:dyDescent="0.6">
      <c r="B3" s="35" t="s">
        <v>16</v>
      </c>
      <c r="C3" s="16"/>
      <c r="D3" s="36" t="s">
        <v>116</v>
      </c>
      <c r="E3" s="16"/>
      <c r="F3" s="16"/>
      <c r="G3" s="16"/>
      <c r="I3" s="16"/>
      <c r="J3" s="16"/>
      <c r="K3" s="16"/>
      <c r="L3" s="16"/>
      <c r="M3" s="16"/>
      <c r="O3" s="16"/>
    </row>
    <row r="4" spans="2:27" x14ac:dyDescent="0.6">
      <c r="B4" s="35" t="s">
        <v>17</v>
      </c>
      <c r="C4" s="18"/>
      <c r="D4" s="36" t="s">
        <v>116</v>
      </c>
      <c r="E4" s="16"/>
      <c r="F4" s="16"/>
      <c r="G4" s="16"/>
      <c r="H4" s="16"/>
      <c r="I4" s="16"/>
      <c r="J4" s="16"/>
      <c r="K4" s="16"/>
      <c r="L4" s="16"/>
      <c r="M4" s="16"/>
      <c r="N4" s="16"/>
      <c r="O4" s="16"/>
    </row>
    <row r="5" spans="2:27" x14ac:dyDescent="0.6">
      <c r="B5" s="35" t="s">
        <v>18</v>
      </c>
      <c r="C5" s="16"/>
      <c r="D5" s="461">
        <v>44700.347094907411</v>
      </c>
      <c r="E5" s="461"/>
      <c r="F5" s="16"/>
      <c r="G5" s="16"/>
      <c r="H5" s="16"/>
      <c r="I5" s="16"/>
      <c r="J5" s="16"/>
      <c r="K5" s="16"/>
      <c r="L5" s="16"/>
      <c r="M5" s="16"/>
      <c r="N5" s="16" t="s">
        <v>175</v>
      </c>
      <c r="O5" s="16"/>
      <c r="Z5" s="17"/>
      <c r="AA5" s="17" t="s">
        <v>117</v>
      </c>
    </row>
    <row r="6" spans="2:27" x14ac:dyDescent="0.6">
      <c r="B6" s="16"/>
      <c r="C6" s="16"/>
      <c r="D6" s="18"/>
      <c r="E6" s="18"/>
      <c r="F6" s="18"/>
      <c r="G6" s="18"/>
      <c r="H6" s="18"/>
      <c r="I6" s="18"/>
      <c r="J6" s="18"/>
      <c r="K6" s="16"/>
      <c r="L6" s="16"/>
      <c r="M6" s="18"/>
      <c r="N6" s="16"/>
      <c r="O6" s="16"/>
      <c r="Z6" s="19"/>
      <c r="AA6" s="19" t="s">
        <v>118</v>
      </c>
    </row>
    <row r="7" spans="2:27" s="8" customFormat="1" ht="19.5" customHeight="1" x14ac:dyDescent="0.6">
      <c r="B7" s="440"/>
      <c r="C7" s="441"/>
      <c r="D7" s="441"/>
      <c r="E7" s="441"/>
      <c r="F7" s="441"/>
      <c r="G7" s="441" t="s">
        <v>19</v>
      </c>
      <c r="H7" s="441"/>
      <c r="I7" s="441" t="s">
        <v>120</v>
      </c>
      <c r="J7" s="441"/>
      <c r="K7" s="441"/>
      <c r="L7" s="441"/>
      <c r="M7" s="441" t="s">
        <v>121</v>
      </c>
      <c r="N7" s="441"/>
      <c r="O7" s="441"/>
      <c r="P7" s="441"/>
      <c r="Q7" s="441" t="s">
        <v>21</v>
      </c>
      <c r="R7" s="441"/>
      <c r="S7" s="441"/>
      <c r="T7" s="441"/>
      <c r="U7" s="441" t="s">
        <v>122</v>
      </c>
      <c r="V7" s="441"/>
      <c r="W7" s="441"/>
      <c r="X7" s="442"/>
      <c r="Z7" s="20" t="s">
        <v>27</v>
      </c>
      <c r="AA7" s="20" t="s">
        <v>123</v>
      </c>
    </row>
    <row r="8" spans="2:27" s="8" customFormat="1" ht="19.5" customHeight="1" x14ac:dyDescent="0.6">
      <c r="B8" s="5" t="s">
        <v>23</v>
      </c>
      <c r="C8" s="6" t="s">
        <v>24</v>
      </c>
      <c r="D8" s="6" t="s">
        <v>25</v>
      </c>
      <c r="E8" s="6" t="s">
        <v>26</v>
      </c>
      <c r="F8" s="6" t="s">
        <v>27</v>
      </c>
      <c r="G8" s="6" t="s">
        <v>28</v>
      </c>
      <c r="H8" s="6" t="s">
        <v>142</v>
      </c>
      <c r="I8" s="6" t="s">
        <v>143</v>
      </c>
      <c r="J8" s="6" t="s">
        <v>144</v>
      </c>
      <c r="K8" s="6" t="s">
        <v>145</v>
      </c>
      <c r="L8" s="6" t="s">
        <v>146</v>
      </c>
      <c r="M8" s="6" t="s">
        <v>121</v>
      </c>
      <c r="N8" s="6" t="s">
        <v>124</v>
      </c>
      <c r="O8" s="6" t="s">
        <v>125</v>
      </c>
      <c r="P8" s="6" t="s">
        <v>126</v>
      </c>
      <c r="Q8" s="6" t="s">
        <v>147</v>
      </c>
      <c r="R8" s="6" t="s">
        <v>148</v>
      </c>
      <c r="S8" s="6" t="s">
        <v>149</v>
      </c>
      <c r="T8" s="6" t="s">
        <v>150</v>
      </c>
      <c r="U8" s="6" t="s">
        <v>127</v>
      </c>
      <c r="V8" s="6" t="s">
        <v>33</v>
      </c>
      <c r="W8" s="6" t="s">
        <v>128</v>
      </c>
      <c r="X8" s="7" t="s">
        <v>129</v>
      </c>
      <c r="Z8" s="22"/>
      <c r="AA8" s="22" t="s">
        <v>176</v>
      </c>
    </row>
    <row r="9" spans="2:27" s="23" customFormat="1" ht="19.5" customHeight="1" x14ac:dyDescent="0.6">
      <c r="B9" s="24" t="s">
        <v>39</v>
      </c>
      <c r="C9" s="9" t="s">
        <v>39</v>
      </c>
      <c r="D9" s="9" t="s">
        <v>39</v>
      </c>
      <c r="E9" s="9" t="s">
        <v>39</v>
      </c>
      <c r="F9" s="9" t="s">
        <v>39</v>
      </c>
      <c r="G9" s="9" t="s">
        <v>39</v>
      </c>
      <c r="H9" s="9" t="s">
        <v>39</v>
      </c>
      <c r="I9" s="9" t="s">
        <v>132</v>
      </c>
      <c r="J9" s="9" t="s">
        <v>132</v>
      </c>
      <c r="K9" s="9" t="s">
        <v>132</v>
      </c>
      <c r="L9" s="9" t="s">
        <v>132</v>
      </c>
      <c r="M9" s="9" t="s">
        <v>39</v>
      </c>
      <c r="N9" s="9" t="s">
        <v>40</v>
      </c>
      <c r="O9" s="9" t="s">
        <v>40</v>
      </c>
      <c r="P9" s="9" t="s">
        <v>40</v>
      </c>
      <c r="Q9" s="9" t="s">
        <v>39</v>
      </c>
      <c r="R9" s="9" t="s">
        <v>39</v>
      </c>
      <c r="S9" s="9" t="s">
        <v>39</v>
      </c>
      <c r="T9" s="9" t="s">
        <v>39</v>
      </c>
      <c r="U9" s="9" t="s">
        <v>41</v>
      </c>
      <c r="V9" s="9" t="s">
        <v>42</v>
      </c>
      <c r="W9" s="9" t="s">
        <v>43</v>
      </c>
      <c r="X9" s="25" t="s">
        <v>43</v>
      </c>
      <c r="Z9" s="26"/>
      <c r="AA9" s="26" t="s">
        <v>135</v>
      </c>
    </row>
    <row r="10" spans="2:27" x14ac:dyDescent="0.6">
      <c r="B10" s="18" t="s">
        <v>45</v>
      </c>
      <c r="C10" s="18" t="s">
        <v>46</v>
      </c>
      <c r="D10" s="18" t="s">
        <v>55</v>
      </c>
      <c r="E10" s="18" t="s">
        <v>48</v>
      </c>
      <c r="F10" s="18" t="s">
        <v>49</v>
      </c>
      <c r="G10" s="18" t="s">
        <v>169</v>
      </c>
      <c r="H10" s="18" t="s">
        <v>177</v>
      </c>
      <c r="I10" s="27">
        <f>VLOOKUP($H$10,'Listen und Kennwerte'!$B$4:$O$11,5,FALSE)</f>
        <v>24</v>
      </c>
      <c r="J10" s="27">
        <f>VLOOKUP($H$10,'Listen und Kennwerte'!$B$4:$O$11,2,FALSE)</f>
        <v>24</v>
      </c>
      <c r="K10" s="28">
        <f>VLOOKUP($H$10,'Listen und Kennwerte'!$B$4:$O$11,8,FALSE)</f>
        <v>11500</v>
      </c>
      <c r="L10" s="28">
        <f>VLOOKUP($H$10,'Listen und Kennwerte'!$B$4:$O$11,9,FALSE)</f>
        <v>9600</v>
      </c>
      <c r="M10" s="18" t="s">
        <v>136</v>
      </c>
      <c r="N10" s="29">
        <v>3.6</v>
      </c>
      <c r="O10" s="29">
        <v>0.6</v>
      </c>
      <c r="P10" s="29">
        <v>0.6</v>
      </c>
      <c r="Q10" s="18">
        <v>2</v>
      </c>
      <c r="R10" s="18" t="s">
        <v>171</v>
      </c>
      <c r="S10" s="18">
        <v>0.6</v>
      </c>
      <c r="T10" s="18">
        <v>1.3</v>
      </c>
      <c r="U10" s="28">
        <v>4000</v>
      </c>
      <c r="V10" s="18">
        <v>5</v>
      </c>
      <c r="W10" s="18">
        <v>120</v>
      </c>
      <c r="X10" s="18">
        <v>0</v>
      </c>
      <c r="Z10" s="32"/>
      <c r="AA10" s="32"/>
    </row>
    <row r="11" spans="2:27" x14ac:dyDescent="0.6">
      <c r="B11" s="18" t="s">
        <v>50</v>
      </c>
      <c r="C11" s="18" t="s">
        <v>46</v>
      </c>
      <c r="D11" s="18" t="s">
        <v>55</v>
      </c>
      <c r="E11" s="18" t="s">
        <v>48</v>
      </c>
      <c r="F11" s="18" t="s">
        <v>49</v>
      </c>
      <c r="G11" s="18" t="s">
        <v>169</v>
      </c>
      <c r="H11" s="18" t="s">
        <v>177</v>
      </c>
      <c r="I11" s="27">
        <f>VLOOKUP($H$10,'Listen und Kennwerte'!$B$4:$O$11,5,FALSE)</f>
        <v>24</v>
      </c>
      <c r="J11" s="27">
        <f>VLOOKUP($H$10,'Listen und Kennwerte'!$B$4:$O$11,2,FALSE)</f>
        <v>24</v>
      </c>
      <c r="K11" s="28">
        <f>VLOOKUP($H$10,'Listen und Kennwerte'!$B$4:$O$11,8,FALSE)</f>
        <v>11500</v>
      </c>
      <c r="L11" s="28">
        <f>VLOOKUP($H$10,'Listen und Kennwerte'!$B$4:$O$11,9,FALSE)</f>
        <v>9600</v>
      </c>
      <c r="M11" s="18" t="s">
        <v>136</v>
      </c>
      <c r="N11" s="29">
        <v>3.6</v>
      </c>
      <c r="O11" s="29">
        <v>0.65</v>
      </c>
      <c r="P11" s="29">
        <v>0.65</v>
      </c>
      <c r="Q11" s="18">
        <v>2</v>
      </c>
      <c r="R11" s="18" t="s">
        <v>171</v>
      </c>
      <c r="S11" s="18">
        <v>0.6</v>
      </c>
      <c r="T11" s="18">
        <v>1.3</v>
      </c>
      <c r="U11" s="28">
        <v>3000</v>
      </c>
      <c r="V11" s="18">
        <v>5</v>
      </c>
      <c r="W11" s="18">
        <v>100</v>
      </c>
      <c r="X11" s="18">
        <v>0</v>
      </c>
      <c r="Z11" s="32"/>
      <c r="AA11" s="32"/>
    </row>
    <row r="12" spans="2:27" x14ac:dyDescent="0.6">
      <c r="B12" s="18" t="s">
        <v>51</v>
      </c>
      <c r="C12" s="18" t="s">
        <v>46</v>
      </c>
      <c r="D12" s="18" t="s">
        <v>47</v>
      </c>
      <c r="E12" s="18" t="s">
        <v>48</v>
      </c>
      <c r="F12" s="18" t="s">
        <v>49</v>
      </c>
      <c r="G12" s="18" t="s">
        <v>169</v>
      </c>
      <c r="H12" s="18" t="s">
        <v>177</v>
      </c>
      <c r="I12" s="27">
        <f>VLOOKUP($H$10,'Listen und Kennwerte'!$B$4:$O$11,5,FALSE)</f>
        <v>24</v>
      </c>
      <c r="J12" s="27">
        <f>VLOOKUP($H$10,'Listen und Kennwerte'!$B$4:$O$11,2,FALSE)</f>
        <v>24</v>
      </c>
      <c r="K12" s="28">
        <f>VLOOKUP($H$10,'Listen und Kennwerte'!$B$4:$O$11,8,FALSE)</f>
        <v>11500</v>
      </c>
      <c r="L12" s="28">
        <f>VLOOKUP($H$10,'Listen und Kennwerte'!$B$4:$O$11,9,FALSE)</f>
        <v>9600</v>
      </c>
      <c r="M12" s="18" t="s">
        <v>136</v>
      </c>
      <c r="N12" s="29">
        <v>3.6</v>
      </c>
      <c r="O12" s="29">
        <v>0.65</v>
      </c>
      <c r="P12" s="29">
        <v>0.65</v>
      </c>
      <c r="Q12" s="18">
        <v>2</v>
      </c>
      <c r="R12" s="18" t="s">
        <v>171</v>
      </c>
      <c r="S12" s="18">
        <v>0.6</v>
      </c>
      <c r="T12" s="18">
        <v>1.3</v>
      </c>
      <c r="U12" s="28">
        <v>3000</v>
      </c>
      <c r="V12" s="18">
        <v>5</v>
      </c>
      <c r="W12" s="18">
        <v>100</v>
      </c>
      <c r="X12" s="18">
        <v>0</v>
      </c>
      <c r="Z12" s="32"/>
      <c r="AA12" s="32"/>
    </row>
    <row r="13" spans="2:27" x14ac:dyDescent="0.6">
      <c r="B13" s="18" t="s">
        <v>52</v>
      </c>
      <c r="C13" s="18" t="s">
        <v>46</v>
      </c>
      <c r="D13" s="18" t="s">
        <v>55</v>
      </c>
      <c r="E13" s="18" t="s">
        <v>48</v>
      </c>
      <c r="F13" s="18" t="s">
        <v>49</v>
      </c>
      <c r="G13" s="18" t="s">
        <v>169</v>
      </c>
      <c r="H13" s="18" t="s">
        <v>177</v>
      </c>
      <c r="I13" s="27">
        <f>VLOOKUP($H$10,'Listen und Kennwerte'!$B$4:$O$11,5,FALSE)</f>
        <v>24</v>
      </c>
      <c r="J13" s="27">
        <f>VLOOKUP($H$10,'Listen und Kennwerte'!$B$4:$O$11,2,FALSE)</f>
        <v>24</v>
      </c>
      <c r="K13" s="28">
        <f>VLOOKUP($H$10,'Listen und Kennwerte'!$B$4:$O$11,8,FALSE)</f>
        <v>11500</v>
      </c>
      <c r="L13" s="28">
        <f>VLOOKUP($H$10,'Listen und Kennwerte'!$B$4:$O$11,9,FALSE)</f>
        <v>9600</v>
      </c>
      <c r="M13" s="18" t="s">
        <v>136</v>
      </c>
      <c r="N13" s="29">
        <v>3.6</v>
      </c>
      <c r="O13" s="29">
        <v>0.55000000000000004</v>
      </c>
      <c r="P13" s="29">
        <v>0.55000000000000004</v>
      </c>
      <c r="Q13" s="18">
        <v>2</v>
      </c>
      <c r="R13" s="18" t="s">
        <v>171</v>
      </c>
      <c r="S13" s="18">
        <v>0.6</v>
      </c>
      <c r="T13" s="18">
        <v>1.3</v>
      </c>
      <c r="U13" s="28">
        <v>3000</v>
      </c>
      <c r="V13" s="18">
        <v>5</v>
      </c>
      <c r="W13" s="18">
        <v>100</v>
      </c>
      <c r="X13" s="18">
        <v>0</v>
      </c>
      <c r="Z13" s="32"/>
      <c r="AA13" s="32"/>
    </row>
    <row r="14" spans="2:27" x14ac:dyDescent="0.6">
      <c r="B14" s="18" t="s">
        <v>53</v>
      </c>
      <c r="C14" s="18" t="s">
        <v>46</v>
      </c>
      <c r="D14" s="18" t="s">
        <v>55</v>
      </c>
      <c r="E14" s="18" t="s">
        <v>48</v>
      </c>
      <c r="F14" s="18" t="s">
        <v>49</v>
      </c>
      <c r="G14" s="18" t="s">
        <v>169</v>
      </c>
      <c r="H14" s="18" t="s">
        <v>177</v>
      </c>
      <c r="I14" s="27">
        <f>VLOOKUP($H$10,'Listen und Kennwerte'!$B$4:$O$11,5,FALSE)</f>
        <v>24</v>
      </c>
      <c r="J14" s="27">
        <f>VLOOKUP($H$10,'Listen und Kennwerte'!$B$4:$O$11,2,FALSE)</f>
        <v>24</v>
      </c>
      <c r="K14" s="28">
        <f>VLOOKUP($H$10,'Listen und Kennwerte'!$B$4:$O$11,8,FALSE)</f>
        <v>11500</v>
      </c>
      <c r="L14" s="28">
        <f>VLOOKUP($H$10,'Listen und Kennwerte'!$B$4:$O$11,9,FALSE)</f>
        <v>9600</v>
      </c>
      <c r="M14" s="18" t="s">
        <v>136</v>
      </c>
      <c r="N14" s="29">
        <v>3.6</v>
      </c>
      <c r="O14" s="29">
        <v>0.65</v>
      </c>
      <c r="P14" s="29">
        <v>0.65</v>
      </c>
      <c r="Q14" s="18">
        <v>2</v>
      </c>
      <c r="R14" s="18" t="s">
        <v>171</v>
      </c>
      <c r="S14" s="18">
        <v>0.6</v>
      </c>
      <c r="T14" s="18">
        <v>1.3</v>
      </c>
      <c r="U14" s="28">
        <v>3000</v>
      </c>
      <c r="V14" s="18">
        <v>5</v>
      </c>
      <c r="W14" s="18">
        <v>100</v>
      </c>
      <c r="X14" s="18">
        <v>0</v>
      </c>
      <c r="Z14" s="32"/>
      <c r="AA14" s="32"/>
    </row>
    <row r="15" spans="2:27" x14ac:dyDescent="0.6">
      <c r="B15" s="18" t="s">
        <v>54</v>
      </c>
      <c r="C15" s="18" t="s">
        <v>46</v>
      </c>
      <c r="D15" s="18" t="s">
        <v>47</v>
      </c>
      <c r="E15" s="18" t="s">
        <v>48</v>
      </c>
      <c r="F15" s="18" t="s">
        <v>49</v>
      </c>
      <c r="G15" s="18" t="s">
        <v>169</v>
      </c>
      <c r="H15" s="18" t="s">
        <v>177</v>
      </c>
      <c r="I15" s="27">
        <f>VLOOKUP($H$10,'Listen und Kennwerte'!$B$4:$O$11,5,FALSE)</f>
        <v>24</v>
      </c>
      <c r="J15" s="27">
        <f>VLOOKUP($H$10,'Listen und Kennwerte'!$B$4:$O$11,2,FALSE)</f>
        <v>24</v>
      </c>
      <c r="K15" s="28">
        <f>VLOOKUP($H$10,'Listen und Kennwerte'!$B$4:$O$11,8,FALSE)</f>
        <v>11500</v>
      </c>
      <c r="L15" s="28">
        <f>VLOOKUP($H$10,'Listen und Kennwerte'!$B$4:$O$11,9,FALSE)</f>
        <v>9600</v>
      </c>
      <c r="M15" s="18" t="s">
        <v>136</v>
      </c>
      <c r="N15" s="29">
        <v>3.6</v>
      </c>
      <c r="O15" s="29">
        <v>0.6</v>
      </c>
      <c r="P15" s="29">
        <v>0.6</v>
      </c>
      <c r="Q15" s="18">
        <v>2</v>
      </c>
      <c r="R15" s="18" t="s">
        <v>171</v>
      </c>
      <c r="S15" s="18">
        <v>0.6</v>
      </c>
      <c r="T15" s="18">
        <v>1.3</v>
      </c>
      <c r="U15" s="28">
        <v>3000</v>
      </c>
      <c r="V15" s="18">
        <v>5</v>
      </c>
      <c r="W15" s="18">
        <v>100</v>
      </c>
      <c r="X15" s="18">
        <v>0</v>
      </c>
      <c r="Z15" s="32"/>
      <c r="AA15" s="32"/>
    </row>
    <row r="16" spans="2:27" x14ac:dyDescent="0.6">
      <c r="B16" s="18" t="s">
        <v>56</v>
      </c>
      <c r="C16" s="18" t="s">
        <v>46</v>
      </c>
      <c r="D16" s="18" t="s">
        <v>47</v>
      </c>
      <c r="E16" s="18" t="s">
        <v>48</v>
      </c>
      <c r="F16" s="18" t="s">
        <v>49</v>
      </c>
      <c r="G16" s="18" t="s">
        <v>169</v>
      </c>
      <c r="H16" s="18" t="s">
        <v>177</v>
      </c>
      <c r="I16" s="27">
        <f>VLOOKUP($H$10,'Listen und Kennwerte'!$B$4:$O$11,5,FALSE)</f>
        <v>24</v>
      </c>
      <c r="J16" s="27">
        <f>VLOOKUP($H$10,'Listen und Kennwerte'!$B$4:$O$11,2,FALSE)</f>
        <v>24</v>
      </c>
      <c r="K16" s="28">
        <f>VLOOKUP($H$10,'Listen und Kennwerte'!$B$4:$O$11,8,FALSE)</f>
        <v>11500</v>
      </c>
      <c r="L16" s="28">
        <f>VLOOKUP($H$10,'Listen und Kennwerte'!$B$4:$O$11,9,FALSE)</f>
        <v>9600</v>
      </c>
      <c r="M16" s="18" t="s">
        <v>136</v>
      </c>
      <c r="N16" s="29">
        <v>3.6</v>
      </c>
      <c r="O16" s="29">
        <v>0.6</v>
      </c>
      <c r="P16" s="29">
        <v>0.6</v>
      </c>
      <c r="Q16" s="18">
        <v>2</v>
      </c>
      <c r="R16" s="18" t="s">
        <v>171</v>
      </c>
      <c r="S16" s="18">
        <v>0.6</v>
      </c>
      <c r="T16" s="18">
        <v>1.3</v>
      </c>
      <c r="U16" s="28">
        <v>3000</v>
      </c>
      <c r="V16" s="18">
        <v>5</v>
      </c>
      <c r="W16" s="18">
        <v>100</v>
      </c>
      <c r="X16" s="18">
        <v>0</v>
      </c>
      <c r="Z16" s="32"/>
      <c r="AA16" s="32"/>
    </row>
    <row r="17" spans="2:27" x14ac:dyDescent="0.6">
      <c r="B17" s="18" t="s">
        <v>57</v>
      </c>
      <c r="C17" s="18" t="s">
        <v>46</v>
      </c>
      <c r="D17" s="18" t="s">
        <v>47</v>
      </c>
      <c r="E17" s="18" t="s">
        <v>48</v>
      </c>
      <c r="F17" s="18" t="s">
        <v>49</v>
      </c>
      <c r="G17" s="18" t="s">
        <v>169</v>
      </c>
      <c r="H17" s="18" t="s">
        <v>177</v>
      </c>
      <c r="I17" s="27">
        <f>VLOOKUP($H$10,'Listen und Kennwerte'!$B$4:$O$11,5,FALSE)</f>
        <v>24</v>
      </c>
      <c r="J17" s="27">
        <f>VLOOKUP($H$10,'Listen und Kennwerte'!$B$4:$O$11,2,FALSE)</f>
        <v>24</v>
      </c>
      <c r="K17" s="28">
        <f>VLOOKUP($H$10,'Listen und Kennwerte'!$B$4:$O$11,8,FALSE)</f>
        <v>11500</v>
      </c>
      <c r="L17" s="28">
        <f>VLOOKUP($H$10,'Listen und Kennwerte'!$B$4:$O$11,9,FALSE)</f>
        <v>9600</v>
      </c>
      <c r="M17" s="18" t="s">
        <v>136</v>
      </c>
      <c r="N17" s="29">
        <v>3.6</v>
      </c>
      <c r="O17" s="29">
        <v>0.55000000000000004</v>
      </c>
      <c r="P17" s="29">
        <v>0.55000000000000004</v>
      </c>
      <c r="Q17" s="18">
        <v>2</v>
      </c>
      <c r="R17" s="18" t="s">
        <v>171</v>
      </c>
      <c r="S17" s="18">
        <v>0.6</v>
      </c>
      <c r="T17" s="18">
        <v>1.3</v>
      </c>
      <c r="U17" s="28">
        <v>3000</v>
      </c>
      <c r="V17" s="18">
        <v>5</v>
      </c>
      <c r="W17" s="18">
        <v>100</v>
      </c>
      <c r="X17" s="18">
        <v>0</v>
      </c>
      <c r="Z17" s="32"/>
      <c r="AA17" s="32"/>
    </row>
    <row r="18" spans="2:27" x14ac:dyDescent="0.6">
      <c r="B18" s="18" t="s">
        <v>58</v>
      </c>
      <c r="C18" s="18" t="s">
        <v>46</v>
      </c>
      <c r="D18" s="18" t="s">
        <v>47</v>
      </c>
      <c r="E18" s="18" t="s">
        <v>48</v>
      </c>
      <c r="F18" s="18" t="s">
        <v>49</v>
      </c>
      <c r="G18" s="18" t="s">
        <v>169</v>
      </c>
      <c r="H18" s="18" t="s">
        <v>177</v>
      </c>
      <c r="I18" s="27">
        <f>VLOOKUP($H$10,'Listen und Kennwerte'!$B$4:$O$11,5,FALSE)</f>
        <v>24</v>
      </c>
      <c r="J18" s="27">
        <f>VLOOKUP($H$10,'Listen und Kennwerte'!$B$4:$O$11,2,FALSE)</f>
        <v>24</v>
      </c>
      <c r="K18" s="28">
        <f>VLOOKUP($H$10,'Listen und Kennwerte'!$B$4:$O$11,8,FALSE)</f>
        <v>11500</v>
      </c>
      <c r="L18" s="28">
        <f>VLOOKUP($H$10,'Listen und Kennwerte'!$B$4:$O$11,9,FALSE)</f>
        <v>9600</v>
      </c>
      <c r="M18" s="18" t="s">
        <v>136</v>
      </c>
      <c r="N18" s="29">
        <v>3.6</v>
      </c>
      <c r="O18" s="29">
        <v>0.6</v>
      </c>
      <c r="P18" s="29">
        <v>0.6</v>
      </c>
      <c r="Q18" s="18">
        <v>2</v>
      </c>
      <c r="R18" s="18" t="s">
        <v>171</v>
      </c>
      <c r="S18" s="18">
        <v>0.6</v>
      </c>
      <c r="T18" s="18">
        <v>1.3</v>
      </c>
      <c r="U18" s="28">
        <v>3000</v>
      </c>
      <c r="V18" s="18">
        <v>5</v>
      </c>
      <c r="W18" s="18">
        <v>120</v>
      </c>
      <c r="X18" s="18">
        <v>0</v>
      </c>
      <c r="Z18" s="32"/>
      <c r="AA18" s="32"/>
    </row>
    <row r="19" spans="2:27" x14ac:dyDescent="0.6">
      <c r="B19" s="18" t="s">
        <v>59</v>
      </c>
      <c r="C19" s="18" t="s">
        <v>46</v>
      </c>
      <c r="D19" s="18" t="s">
        <v>47</v>
      </c>
      <c r="E19" s="18" t="s">
        <v>48</v>
      </c>
      <c r="F19" s="18" t="s">
        <v>49</v>
      </c>
      <c r="G19" s="18" t="s">
        <v>169</v>
      </c>
      <c r="H19" s="18" t="s">
        <v>177</v>
      </c>
      <c r="I19" s="27">
        <f>VLOOKUP($H$10,'Listen und Kennwerte'!$B$4:$O$11,5,FALSE)</f>
        <v>24</v>
      </c>
      <c r="J19" s="27">
        <f>VLOOKUP($H$10,'Listen und Kennwerte'!$B$4:$O$11,2,FALSE)</f>
        <v>24</v>
      </c>
      <c r="K19" s="28">
        <f>VLOOKUP($H$10,'Listen und Kennwerte'!$B$4:$O$11,8,FALSE)</f>
        <v>11500</v>
      </c>
      <c r="L19" s="28">
        <f>VLOOKUP($H$10,'Listen und Kennwerte'!$B$4:$O$11,9,FALSE)</f>
        <v>9600</v>
      </c>
      <c r="M19" s="18" t="s">
        <v>136</v>
      </c>
      <c r="N19" s="29">
        <v>3.6</v>
      </c>
      <c r="O19" s="29">
        <v>0.55000000000000004</v>
      </c>
      <c r="P19" s="29">
        <v>0.55000000000000004</v>
      </c>
      <c r="Q19" s="18">
        <v>2</v>
      </c>
      <c r="R19" s="18" t="s">
        <v>171</v>
      </c>
      <c r="S19" s="18">
        <v>0.6</v>
      </c>
      <c r="T19" s="18">
        <v>1.3</v>
      </c>
      <c r="U19" s="28">
        <v>3000</v>
      </c>
      <c r="V19" s="18">
        <v>5</v>
      </c>
      <c r="W19" s="18">
        <v>120</v>
      </c>
      <c r="X19" s="18">
        <v>0</v>
      </c>
      <c r="Z19" s="32"/>
      <c r="AA19" s="32"/>
    </row>
    <row r="20" spans="2:27" x14ac:dyDescent="0.6">
      <c r="B20" s="18" t="s">
        <v>60</v>
      </c>
      <c r="C20" s="18" t="s">
        <v>46</v>
      </c>
      <c r="D20" s="18" t="s">
        <v>47</v>
      </c>
      <c r="E20" s="18" t="s">
        <v>48</v>
      </c>
      <c r="F20" s="18" t="s">
        <v>49</v>
      </c>
      <c r="G20" s="18" t="s">
        <v>169</v>
      </c>
      <c r="H20" s="18" t="s">
        <v>177</v>
      </c>
      <c r="I20" s="27">
        <f>VLOOKUP($H$10,'Listen und Kennwerte'!$B$4:$O$11,5,FALSE)</f>
        <v>24</v>
      </c>
      <c r="J20" s="27">
        <f>VLOOKUP($H$10,'Listen und Kennwerte'!$B$4:$O$11,2,FALSE)</f>
        <v>24</v>
      </c>
      <c r="K20" s="28">
        <f>VLOOKUP($H$10,'Listen und Kennwerte'!$B$4:$O$11,8,FALSE)</f>
        <v>11500</v>
      </c>
      <c r="L20" s="28">
        <f>VLOOKUP($H$10,'Listen und Kennwerte'!$B$4:$O$11,9,FALSE)</f>
        <v>9600</v>
      </c>
      <c r="M20" s="18" t="s">
        <v>136</v>
      </c>
      <c r="N20" s="29">
        <v>3.6</v>
      </c>
      <c r="O20" s="29">
        <v>0.55000000000000004</v>
      </c>
      <c r="P20" s="29">
        <v>0.55000000000000004</v>
      </c>
      <c r="Q20" s="18">
        <v>2</v>
      </c>
      <c r="R20" s="18" t="s">
        <v>171</v>
      </c>
      <c r="S20" s="18">
        <v>0.6</v>
      </c>
      <c r="T20" s="18">
        <v>1.3</v>
      </c>
      <c r="U20" s="28">
        <v>3000</v>
      </c>
      <c r="V20" s="18">
        <v>5</v>
      </c>
      <c r="W20" s="18">
        <v>120</v>
      </c>
      <c r="X20" s="18">
        <v>0</v>
      </c>
      <c r="Z20" s="32"/>
      <c r="AA20" s="32"/>
    </row>
    <row r="21" spans="2:27" x14ac:dyDescent="0.6">
      <c r="B21" s="18" t="s">
        <v>61</v>
      </c>
      <c r="C21" s="18" t="s">
        <v>46</v>
      </c>
      <c r="D21" s="18" t="s">
        <v>47</v>
      </c>
      <c r="E21" s="18" t="s">
        <v>48</v>
      </c>
      <c r="F21" s="18" t="s">
        <v>49</v>
      </c>
      <c r="G21" s="18" t="s">
        <v>169</v>
      </c>
      <c r="H21" s="18" t="s">
        <v>177</v>
      </c>
      <c r="I21" s="27">
        <f>VLOOKUP($H$10,'Listen und Kennwerte'!$B$4:$O$11,5,FALSE)</f>
        <v>24</v>
      </c>
      <c r="J21" s="27">
        <f>VLOOKUP($H$10,'Listen und Kennwerte'!$B$4:$O$11,2,FALSE)</f>
        <v>24</v>
      </c>
      <c r="K21" s="28">
        <f>VLOOKUP($H$10,'Listen und Kennwerte'!$B$4:$O$11,8,FALSE)</f>
        <v>11500</v>
      </c>
      <c r="L21" s="28">
        <f>VLOOKUP($H$10,'Listen und Kennwerte'!$B$4:$O$11,9,FALSE)</f>
        <v>9600</v>
      </c>
      <c r="M21" s="18" t="s">
        <v>136</v>
      </c>
      <c r="N21" s="29">
        <v>3.6</v>
      </c>
      <c r="O21" s="29">
        <v>0.6</v>
      </c>
      <c r="P21" s="29">
        <v>0.6</v>
      </c>
      <c r="Q21" s="18">
        <v>2</v>
      </c>
      <c r="R21" s="18" t="s">
        <v>171</v>
      </c>
      <c r="S21" s="18">
        <v>0.6</v>
      </c>
      <c r="T21" s="18">
        <v>1.3</v>
      </c>
      <c r="U21" s="28">
        <v>2500</v>
      </c>
      <c r="V21" s="18">
        <v>5</v>
      </c>
      <c r="W21" s="18">
        <v>120</v>
      </c>
      <c r="X21" s="18">
        <v>120</v>
      </c>
      <c r="Z21" s="32"/>
      <c r="AA21" s="32"/>
    </row>
    <row r="22" spans="2:27" x14ac:dyDescent="0.6">
      <c r="B22" s="18" t="s">
        <v>62</v>
      </c>
      <c r="C22" s="18" t="s">
        <v>46</v>
      </c>
      <c r="D22" s="18" t="s">
        <v>47</v>
      </c>
      <c r="E22" s="18" t="s">
        <v>48</v>
      </c>
      <c r="F22" s="18" t="s">
        <v>49</v>
      </c>
      <c r="G22" s="18" t="s">
        <v>169</v>
      </c>
      <c r="H22" s="18" t="s">
        <v>177</v>
      </c>
      <c r="I22" s="27">
        <f>VLOOKUP($H$10,'Listen und Kennwerte'!$B$4:$O$11,5,FALSE)</f>
        <v>24</v>
      </c>
      <c r="J22" s="27">
        <f>VLOOKUP($H$10,'Listen und Kennwerte'!$B$4:$O$11,2,FALSE)</f>
        <v>24</v>
      </c>
      <c r="K22" s="28">
        <f>VLOOKUP($H$10,'Listen und Kennwerte'!$B$4:$O$11,8,FALSE)</f>
        <v>11500</v>
      </c>
      <c r="L22" s="28">
        <f>VLOOKUP($H$10,'Listen und Kennwerte'!$B$4:$O$11,9,FALSE)</f>
        <v>9600</v>
      </c>
      <c r="M22" s="18" t="s">
        <v>136</v>
      </c>
      <c r="N22" s="29">
        <v>3.6</v>
      </c>
      <c r="O22" s="29">
        <v>0.55000000000000004</v>
      </c>
      <c r="P22" s="29">
        <v>0.55000000000000004</v>
      </c>
      <c r="Q22" s="18">
        <v>2</v>
      </c>
      <c r="R22" s="18" t="s">
        <v>171</v>
      </c>
      <c r="S22" s="18">
        <v>0.6</v>
      </c>
      <c r="T22" s="18">
        <v>1.3</v>
      </c>
      <c r="U22" s="28">
        <v>4000</v>
      </c>
      <c r="V22" s="18">
        <v>5</v>
      </c>
      <c r="W22" s="18">
        <v>120</v>
      </c>
      <c r="X22" s="18">
        <v>0</v>
      </c>
      <c r="Z22" s="32"/>
      <c r="AA22" s="32"/>
    </row>
    <row r="23" spans="2:27" x14ac:dyDescent="0.6">
      <c r="B23" s="18" t="s">
        <v>63</v>
      </c>
      <c r="C23" s="18" t="s">
        <v>46</v>
      </c>
      <c r="D23" s="18" t="s">
        <v>47</v>
      </c>
      <c r="E23" s="18" t="s">
        <v>48</v>
      </c>
      <c r="F23" s="18" t="s">
        <v>49</v>
      </c>
      <c r="G23" s="18" t="s">
        <v>169</v>
      </c>
      <c r="H23" s="18" t="s">
        <v>177</v>
      </c>
      <c r="I23" s="27">
        <f>VLOOKUP($H$10,'Listen und Kennwerte'!$B$4:$O$11,5,FALSE)</f>
        <v>24</v>
      </c>
      <c r="J23" s="27">
        <f>VLOOKUP($H$10,'Listen und Kennwerte'!$B$4:$O$11,2,FALSE)</f>
        <v>24</v>
      </c>
      <c r="K23" s="28">
        <f>VLOOKUP($H$10,'Listen und Kennwerte'!$B$4:$O$11,8,FALSE)</f>
        <v>11500</v>
      </c>
      <c r="L23" s="28">
        <f>VLOOKUP($H$10,'Listen und Kennwerte'!$B$4:$O$11,9,FALSE)</f>
        <v>9600</v>
      </c>
      <c r="M23" s="18" t="s">
        <v>136</v>
      </c>
      <c r="N23" s="29">
        <v>3.6</v>
      </c>
      <c r="O23" s="29">
        <v>0.6</v>
      </c>
      <c r="P23" s="29">
        <v>0.6</v>
      </c>
      <c r="Q23" s="18">
        <v>2</v>
      </c>
      <c r="R23" s="18" t="s">
        <v>171</v>
      </c>
      <c r="S23" s="18">
        <v>0.6</v>
      </c>
      <c r="T23" s="18">
        <v>1.3</v>
      </c>
      <c r="U23" s="28">
        <v>3000</v>
      </c>
      <c r="V23" s="18">
        <v>5</v>
      </c>
      <c r="W23" s="18">
        <v>120</v>
      </c>
      <c r="X23" s="18">
        <v>0</v>
      </c>
      <c r="Z23" s="32"/>
      <c r="AA23" s="32"/>
    </row>
    <row r="24" spans="2:27" x14ac:dyDescent="0.6">
      <c r="B24" s="18" t="s">
        <v>64</v>
      </c>
      <c r="C24" s="18" t="s">
        <v>46</v>
      </c>
      <c r="D24" s="18" t="s">
        <v>47</v>
      </c>
      <c r="E24" s="18" t="s">
        <v>48</v>
      </c>
      <c r="F24" s="18" t="s">
        <v>49</v>
      </c>
      <c r="G24" s="18" t="s">
        <v>169</v>
      </c>
      <c r="H24" s="18" t="s">
        <v>177</v>
      </c>
      <c r="I24" s="27">
        <f>VLOOKUP($H$10,'Listen und Kennwerte'!$B$4:$O$11,5,FALSE)</f>
        <v>24</v>
      </c>
      <c r="J24" s="27">
        <f>VLOOKUP($H$10,'Listen und Kennwerte'!$B$4:$O$11,2,FALSE)</f>
        <v>24</v>
      </c>
      <c r="K24" s="28">
        <f>VLOOKUP($H$10,'Listen und Kennwerte'!$B$4:$O$11,8,FALSE)</f>
        <v>11500</v>
      </c>
      <c r="L24" s="28">
        <f>VLOOKUP($H$10,'Listen und Kennwerte'!$B$4:$O$11,9,FALSE)</f>
        <v>9600</v>
      </c>
      <c r="M24" s="18" t="s">
        <v>136</v>
      </c>
      <c r="N24" s="29">
        <v>3.6</v>
      </c>
      <c r="O24" s="29">
        <v>0.55000000000000004</v>
      </c>
      <c r="P24" s="29">
        <v>0.55000000000000004</v>
      </c>
      <c r="Q24" s="18">
        <v>2</v>
      </c>
      <c r="R24" s="18" t="s">
        <v>171</v>
      </c>
      <c r="S24" s="18">
        <v>0.6</v>
      </c>
      <c r="T24" s="18">
        <v>1.3</v>
      </c>
      <c r="U24" s="28">
        <v>3000</v>
      </c>
      <c r="V24" s="18">
        <v>5</v>
      </c>
      <c r="W24" s="18">
        <v>100</v>
      </c>
      <c r="X24" s="18">
        <v>0</v>
      </c>
      <c r="Z24" s="32"/>
      <c r="AA24" s="32"/>
    </row>
    <row r="25" spans="2:27" x14ac:dyDescent="0.6">
      <c r="B25" s="18" t="s">
        <v>65</v>
      </c>
      <c r="C25" s="18" t="s">
        <v>46</v>
      </c>
      <c r="D25" s="18" t="s">
        <v>55</v>
      </c>
      <c r="E25" s="18" t="s">
        <v>48</v>
      </c>
      <c r="F25" s="18" t="s">
        <v>49</v>
      </c>
      <c r="G25" s="18" t="s">
        <v>169</v>
      </c>
      <c r="H25" s="18" t="s">
        <v>177</v>
      </c>
      <c r="I25" s="27">
        <f>VLOOKUP($H$10,'Listen und Kennwerte'!$B$4:$O$11,5,FALSE)</f>
        <v>24</v>
      </c>
      <c r="J25" s="27">
        <f>VLOOKUP($H$10,'Listen und Kennwerte'!$B$4:$O$11,2,FALSE)</f>
        <v>24</v>
      </c>
      <c r="K25" s="28">
        <f>VLOOKUP($H$10,'Listen und Kennwerte'!$B$4:$O$11,8,FALSE)</f>
        <v>11500</v>
      </c>
      <c r="L25" s="28">
        <f>VLOOKUP($H$10,'Listen und Kennwerte'!$B$4:$O$11,9,FALSE)</f>
        <v>9600</v>
      </c>
      <c r="M25" s="18" t="s">
        <v>136</v>
      </c>
      <c r="N25" s="29">
        <v>3.6</v>
      </c>
      <c r="O25" s="29">
        <v>0.6</v>
      </c>
      <c r="P25" s="29">
        <v>0.6</v>
      </c>
      <c r="Q25" s="18">
        <v>2</v>
      </c>
      <c r="R25" s="18" t="s">
        <v>171</v>
      </c>
      <c r="S25" s="18">
        <v>0.6</v>
      </c>
      <c r="T25" s="18">
        <v>1.3</v>
      </c>
      <c r="U25" s="28">
        <v>3000</v>
      </c>
      <c r="V25" s="18">
        <v>5</v>
      </c>
      <c r="W25" s="18">
        <v>100</v>
      </c>
      <c r="X25" s="18">
        <v>0</v>
      </c>
      <c r="Z25" s="32"/>
      <c r="AA25" s="32"/>
    </row>
    <row r="26" spans="2:27" x14ac:dyDescent="0.6">
      <c r="B26" s="18" t="s">
        <v>66</v>
      </c>
      <c r="C26" s="18" t="s">
        <v>46</v>
      </c>
      <c r="D26" s="18" t="s">
        <v>55</v>
      </c>
      <c r="E26" s="18" t="s">
        <v>48</v>
      </c>
      <c r="F26" s="18" t="s">
        <v>49</v>
      </c>
      <c r="G26" s="18" t="s">
        <v>169</v>
      </c>
      <c r="H26" s="18" t="s">
        <v>177</v>
      </c>
      <c r="I26" s="27">
        <f>VLOOKUP($H$10,'Listen und Kennwerte'!$B$4:$O$11,5,FALSE)</f>
        <v>24</v>
      </c>
      <c r="J26" s="27">
        <f>VLOOKUP($H$10,'Listen und Kennwerte'!$B$4:$O$11,2,FALSE)</f>
        <v>24</v>
      </c>
      <c r="K26" s="28">
        <f>VLOOKUP($H$10,'Listen und Kennwerte'!$B$4:$O$11,8,FALSE)</f>
        <v>11500</v>
      </c>
      <c r="L26" s="28">
        <f>VLOOKUP($H$10,'Listen und Kennwerte'!$B$4:$O$11,9,FALSE)</f>
        <v>9600</v>
      </c>
      <c r="M26" s="18" t="s">
        <v>136</v>
      </c>
      <c r="N26" s="29">
        <v>3.6</v>
      </c>
      <c r="O26" s="29">
        <v>0.6</v>
      </c>
      <c r="P26" s="29">
        <v>0.6</v>
      </c>
      <c r="Q26" s="18">
        <v>2</v>
      </c>
      <c r="R26" s="18" t="s">
        <v>171</v>
      </c>
      <c r="S26" s="18">
        <v>0.6</v>
      </c>
      <c r="T26" s="18">
        <v>1.3</v>
      </c>
      <c r="U26" s="28">
        <v>3500</v>
      </c>
      <c r="V26" s="18">
        <v>5</v>
      </c>
      <c r="W26" s="18">
        <v>100</v>
      </c>
      <c r="X26" s="18">
        <v>0</v>
      </c>
      <c r="Z26" s="32"/>
      <c r="AA26" s="32"/>
    </row>
    <row r="27" spans="2:27" x14ac:dyDescent="0.6">
      <c r="B27" s="18" t="s">
        <v>67</v>
      </c>
      <c r="C27" s="18" t="s">
        <v>46</v>
      </c>
      <c r="D27" s="18" t="s">
        <v>55</v>
      </c>
      <c r="E27" s="18" t="s">
        <v>48</v>
      </c>
      <c r="F27" s="18" t="s">
        <v>49</v>
      </c>
      <c r="G27" s="18" t="s">
        <v>169</v>
      </c>
      <c r="H27" s="18" t="s">
        <v>177</v>
      </c>
      <c r="I27" s="27">
        <f>VLOOKUP($H$10,'Listen und Kennwerte'!$B$4:$O$11,5,FALSE)</f>
        <v>24</v>
      </c>
      <c r="J27" s="27">
        <f>VLOOKUP($H$10,'Listen und Kennwerte'!$B$4:$O$11,2,FALSE)</f>
        <v>24</v>
      </c>
      <c r="K27" s="28">
        <f>VLOOKUP($H$10,'Listen und Kennwerte'!$B$4:$O$11,8,FALSE)</f>
        <v>11500</v>
      </c>
      <c r="L27" s="28">
        <f>VLOOKUP($H$10,'Listen und Kennwerte'!$B$4:$O$11,9,FALSE)</f>
        <v>9600</v>
      </c>
      <c r="M27" s="18" t="s">
        <v>136</v>
      </c>
      <c r="N27" s="29">
        <v>3.6</v>
      </c>
      <c r="O27" s="29">
        <v>0.6</v>
      </c>
      <c r="P27" s="29">
        <v>0.6</v>
      </c>
      <c r="Q27" s="18">
        <v>2</v>
      </c>
      <c r="R27" s="18" t="s">
        <v>171</v>
      </c>
      <c r="S27" s="18">
        <v>0.6</v>
      </c>
      <c r="T27" s="18">
        <v>1.3</v>
      </c>
      <c r="U27" s="28">
        <v>3000</v>
      </c>
      <c r="V27" s="18">
        <v>5</v>
      </c>
      <c r="W27" s="18">
        <v>120</v>
      </c>
      <c r="X27" s="18">
        <v>0</v>
      </c>
      <c r="Z27" s="32"/>
      <c r="AA27" s="32"/>
    </row>
    <row r="28" spans="2:27" x14ac:dyDescent="0.6">
      <c r="B28" s="18" t="s">
        <v>68</v>
      </c>
      <c r="C28" s="18" t="s">
        <v>46</v>
      </c>
      <c r="D28" s="18" t="s">
        <v>55</v>
      </c>
      <c r="E28" s="18" t="s">
        <v>48</v>
      </c>
      <c r="F28" s="18" t="s">
        <v>49</v>
      </c>
      <c r="G28" s="18" t="s">
        <v>169</v>
      </c>
      <c r="H28" s="18" t="s">
        <v>177</v>
      </c>
      <c r="I28" s="27">
        <f>VLOOKUP($H$10,'Listen und Kennwerte'!$B$4:$O$11,5,FALSE)</f>
        <v>24</v>
      </c>
      <c r="J28" s="27">
        <f>VLOOKUP($H$10,'Listen und Kennwerte'!$B$4:$O$11,2,FALSE)</f>
        <v>24</v>
      </c>
      <c r="K28" s="28">
        <f>VLOOKUP($H$10,'Listen und Kennwerte'!$B$4:$O$11,8,FALSE)</f>
        <v>11500</v>
      </c>
      <c r="L28" s="28">
        <f>VLOOKUP($H$10,'Listen und Kennwerte'!$B$4:$O$11,9,FALSE)</f>
        <v>9600</v>
      </c>
      <c r="M28" s="18" t="s">
        <v>136</v>
      </c>
      <c r="N28" s="29">
        <v>3.6</v>
      </c>
      <c r="O28" s="29">
        <v>0.6</v>
      </c>
      <c r="P28" s="29">
        <v>0.6</v>
      </c>
      <c r="Q28" s="18">
        <v>2</v>
      </c>
      <c r="R28" s="18" t="s">
        <v>171</v>
      </c>
      <c r="S28" s="18">
        <v>0.6</v>
      </c>
      <c r="T28" s="18">
        <v>1.3</v>
      </c>
      <c r="U28" s="28">
        <v>3500</v>
      </c>
      <c r="V28" s="18">
        <v>5</v>
      </c>
      <c r="W28" s="18">
        <v>120</v>
      </c>
      <c r="X28" s="18">
        <v>0</v>
      </c>
      <c r="Z28" s="32"/>
      <c r="AA28" s="32"/>
    </row>
    <row r="29" spans="2:27" x14ac:dyDescent="0.6">
      <c r="B29" s="18" t="s">
        <v>69</v>
      </c>
      <c r="C29" s="18" t="s">
        <v>46</v>
      </c>
      <c r="D29" s="18" t="s">
        <v>55</v>
      </c>
      <c r="E29" s="18" t="s">
        <v>48</v>
      </c>
      <c r="F29" s="18" t="s">
        <v>49</v>
      </c>
      <c r="G29" s="18" t="s">
        <v>169</v>
      </c>
      <c r="H29" s="18" t="s">
        <v>177</v>
      </c>
      <c r="I29" s="27">
        <f>VLOOKUP($H$10,'Listen und Kennwerte'!$B$4:$O$11,5,FALSE)</f>
        <v>24</v>
      </c>
      <c r="J29" s="27">
        <f>VLOOKUP($H$10,'Listen und Kennwerte'!$B$4:$O$11,2,FALSE)</f>
        <v>24</v>
      </c>
      <c r="K29" s="28">
        <f>VLOOKUP($H$10,'Listen und Kennwerte'!$B$4:$O$11,8,FALSE)</f>
        <v>11500</v>
      </c>
      <c r="L29" s="28">
        <f>VLOOKUP($H$10,'Listen und Kennwerte'!$B$4:$O$11,9,FALSE)</f>
        <v>9600</v>
      </c>
      <c r="M29" s="18" t="s">
        <v>136</v>
      </c>
      <c r="N29" s="29">
        <v>3.6</v>
      </c>
      <c r="O29" s="29">
        <v>0.6</v>
      </c>
      <c r="P29" s="29">
        <v>0.6</v>
      </c>
      <c r="Q29" s="18">
        <v>2</v>
      </c>
      <c r="R29" s="18" t="s">
        <v>171</v>
      </c>
      <c r="S29" s="18">
        <v>0.6</v>
      </c>
      <c r="T29" s="18">
        <v>1.3</v>
      </c>
      <c r="U29" s="28">
        <v>2000</v>
      </c>
      <c r="V29" s="18">
        <v>5</v>
      </c>
      <c r="W29" s="18">
        <v>120</v>
      </c>
      <c r="X29" s="18">
        <v>120</v>
      </c>
      <c r="Z29" s="32"/>
      <c r="AA29" s="32"/>
    </row>
    <row r="30" spans="2:27" x14ac:dyDescent="0.6">
      <c r="B30" s="18" t="s">
        <v>70</v>
      </c>
      <c r="C30" s="18" t="s">
        <v>46</v>
      </c>
      <c r="D30" s="18" t="s">
        <v>55</v>
      </c>
      <c r="E30" s="18" t="s">
        <v>48</v>
      </c>
      <c r="F30" s="18" t="s">
        <v>49</v>
      </c>
      <c r="G30" s="18" t="s">
        <v>169</v>
      </c>
      <c r="H30" s="18" t="s">
        <v>177</v>
      </c>
      <c r="I30" s="27">
        <f>VLOOKUP($H$10,'Listen und Kennwerte'!$B$4:$O$11,5,FALSE)</f>
        <v>24</v>
      </c>
      <c r="J30" s="27">
        <f>VLOOKUP($H$10,'Listen und Kennwerte'!$B$4:$O$11,2,FALSE)</f>
        <v>24</v>
      </c>
      <c r="K30" s="28">
        <f>VLOOKUP($H$10,'Listen und Kennwerte'!$B$4:$O$11,8,FALSE)</f>
        <v>11500</v>
      </c>
      <c r="L30" s="28">
        <f>VLOOKUP($H$10,'Listen und Kennwerte'!$B$4:$O$11,9,FALSE)</f>
        <v>9600</v>
      </c>
      <c r="M30" s="18" t="s">
        <v>136</v>
      </c>
      <c r="N30" s="29">
        <v>3.6</v>
      </c>
      <c r="O30" s="29">
        <v>0.6</v>
      </c>
      <c r="P30" s="29">
        <v>0.6</v>
      </c>
      <c r="Q30" s="18">
        <v>2</v>
      </c>
      <c r="R30" s="18" t="s">
        <v>171</v>
      </c>
      <c r="S30" s="18">
        <v>0.6</v>
      </c>
      <c r="T30" s="18">
        <v>1.3</v>
      </c>
      <c r="U30" s="28">
        <v>2500</v>
      </c>
      <c r="V30" s="18">
        <v>5</v>
      </c>
      <c r="W30" s="18">
        <v>100</v>
      </c>
      <c r="X30" s="18">
        <v>0</v>
      </c>
      <c r="Z30" s="32"/>
      <c r="AA30" s="32"/>
    </row>
    <row r="31" spans="2:27" x14ac:dyDescent="0.6">
      <c r="B31" s="18" t="s">
        <v>71</v>
      </c>
      <c r="C31" s="18" t="s">
        <v>46</v>
      </c>
      <c r="D31" s="18" t="s">
        <v>55</v>
      </c>
      <c r="E31" s="18" t="s">
        <v>48</v>
      </c>
      <c r="F31" s="18" t="s">
        <v>49</v>
      </c>
      <c r="G31" s="18" t="s">
        <v>169</v>
      </c>
      <c r="H31" s="18" t="s">
        <v>177</v>
      </c>
      <c r="I31" s="27">
        <f>VLOOKUP($H$10,'Listen und Kennwerte'!$B$4:$O$11,5,FALSE)</f>
        <v>24</v>
      </c>
      <c r="J31" s="27">
        <f>VLOOKUP($H$10,'Listen und Kennwerte'!$B$4:$O$11,2,FALSE)</f>
        <v>24</v>
      </c>
      <c r="K31" s="28">
        <f>VLOOKUP($H$10,'Listen und Kennwerte'!$B$4:$O$11,8,FALSE)</f>
        <v>11500</v>
      </c>
      <c r="L31" s="28">
        <f>VLOOKUP($H$10,'Listen und Kennwerte'!$B$4:$O$11,9,FALSE)</f>
        <v>9600</v>
      </c>
      <c r="M31" s="18" t="s">
        <v>136</v>
      </c>
      <c r="N31" s="29">
        <v>3.6</v>
      </c>
      <c r="O31" s="29">
        <v>0.6</v>
      </c>
      <c r="P31" s="29">
        <v>0.6</v>
      </c>
      <c r="Q31" s="18">
        <v>2</v>
      </c>
      <c r="R31" s="18" t="s">
        <v>171</v>
      </c>
      <c r="S31" s="18">
        <v>0.6</v>
      </c>
      <c r="T31" s="18">
        <v>1.3</v>
      </c>
      <c r="U31" s="28">
        <v>3000</v>
      </c>
      <c r="V31" s="18">
        <v>5</v>
      </c>
      <c r="W31" s="18">
        <v>100</v>
      </c>
      <c r="X31" s="18">
        <v>0</v>
      </c>
      <c r="Z31" s="32"/>
      <c r="AA31" s="32"/>
    </row>
    <row r="32" spans="2:27" x14ac:dyDescent="0.6">
      <c r="B32" s="18" t="s">
        <v>72</v>
      </c>
      <c r="C32" s="18" t="s">
        <v>46</v>
      </c>
      <c r="D32" s="18" t="s">
        <v>55</v>
      </c>
      <c r="E32" s="18" t="s">
        <v>48</v>
      </c>
      <c r="F32" s="18" t="s">
        <v>49</v>
      </c>
      <c r="G32" s="18" t="s">
        <v>169</v>
      </c>
      <c r="H32" s="18" t="s">
        <v>177</v>
      </c>
      <c r="I32" s="27">
        <f>VLOOKUP($H$10,'Listen und Kennwerte'!$B$4:$O$11,5,FALSE)</f>
        <v>24</v>
      </c>
      <c r="J32" s="27">
        <f>VLOOKUP($H$10,'Listen und Kennwerte'!$B$4:$O$11,2,FALSE)</f>
        <v>24</v>
      </c>
      <c r="K32" s="28">
        <f>VLOOKUP($H$10,'Listen und Kennwerte'!$B$4:$O$11,8,FALSE)</f>
        <v>11500</v>
      </c>
      <c r="L32" s="28">
        <f>VLOOKUP($H$10,'Listen und Kennwerte'!$B$4:$O$11,9,FALSE)</f>
        <v>9600</v>
      </c>
      <c r="M32" s="18" t="s">
        <v>136</v>
      </c>
      <c r="N32" s="29">
        <v>3.6</v>
      </c>
      <c r="O32" s="29">
        <v>0.6</v>
      </c>
      <c r="P32" s="29">
        <v>0.6</v>
      </c>
      <c r="Q32" s="18">
        <v>2</v>
      </c>
      <c r="R32" s="18" t="s">
        <v>171</v>
      </c>
      <c r="S32" s="18">
        <v>0.6</v>
      </c>
      <c r="T32" s="18">
        <v>1.3</v>
      </c>
      <c r="U32" s="28">
        <v>3000</v>
      </c>
      <c r="V32" s="18">
        <v>5</v>
      </c>
      <c r="W32" s="18">
        <v>100</v>
      </c>
      <c r="X32" s="18">
        <v>0</v>
      </c>
      <c r="Z32" s="32"/>
      <c r="AA32" s="32"/>
    </row>
    <row r="33" spans="2:27" x14ac:dyDescent="0.6">
      <c r="B33" s="18" t="s">
        <v>73</v>
      </c>
      <c r="C33" s="18" t="s">
        <v>46</v>
      </c>
      <c r="D33" s="18" t="s">
        <v>47</v>
      </c>
      <c r="E33" s="18" t="s">
        <v>48</v>
      </c>
      <c r="F33" s="18" t="s">
        <v>49</v>
      </c>
      <c r="G33" s="18" t="s">
        <v>169</v>
      </c>
      <c r="H33" s="18" t="s">
        <v>177</v>
      </c>
      <c r="I33" s="27">
        <f>VLOOKUP($H$10,'Listen und Kennwerte'!$B$4:$O$11,5,FALSE)</f>
        <v>24</v>
      </c>
      <c r="J33" s="27">
        <f>VLOOKUP($H$10,'Listen und Kennwerte'!$B$4:$O$11,2,FALSE)</f>
        <v>24</v>
      </c>
      <c r="K33" s="28">
        <f>VLOOKUP($H$10,'Listen und Kennwerte'!$B$4:$O$11,8,FALSE)</f>
        <v>11500</v>
      </c>
      <c r="L33" s="28">
        <f>VLOOKUP($H$10,'Listen und Kennwerte'!$B$4:$O$11,9,FALSE)</f>
        <v>9600</v>
      </c>
      <c r="M33" s="18" t="s">
        <v>136</v>
      </c>
      <c r="N33" s="29">
        <v>3.6</v>
      </c>
      <c r="O33" s="29">
        <v>0.6</v>
      </c>
      <c r="P33" s="29">
        <v>0.6</v>
      </c>
      <c r="Q33" s="18">
        <v>2</v>
      </c>
      <c r="R33" s="18" t="s">
        <v>171</v>
      </c>
      <c r="S33" s="18">
        <v>0.6</v>
      </c>
      <c r="T33" s="18">
        <v>1.3</v>
      </c>
      <c r="U33" s="28">
        <v>2500</v>
      </c>
      <c r="V33" s="18">
        <v>5</v>
      </c>
      <c r="W33" s="18">
        <v>100</v>
      </c>
      <c r="X33" s="18">
        <v>0</v>
      </c>
      <c r="Z33" s="32"/>
      <c r="AA33" s="32"/>
    </row>
    <row r="34" spans="2:27" x14ac:dyDescent="0.6">
      <c r="B34" s="18" t="s">
        <v>74</v>
      </c>
      <c r="C34" s="18" t="s">
        <v>46</v>
      </c>
      <c r="D34" s="18" t="s">
        <v>55</v>
      </c>
      <c r="E34" s="18" t="s">
        <v>48</v>
      </c>
      <c r="F34" s="18" t="s">
        <v>49</v>
      </c>
      <c r="G34" s="18" t="s">
        <v>169</v>
      </c>
      <c r="H34" s="18" t="s">
        <v>177</v>
      </c>
      <c r="I34" s="27">
        <f>VLOOKUP($H$10,'Listen und Kennwerte'!$B$4:$O$11,5,FALSE)</f>
        <v>24</v>
      </c>
      <c r="J34" s="27">
        <f>VLOOKUP($H$10,'Listen und Kennwerte'!$B$4:$O$11,2,FALSE)</f>
        <v>24</v>
      </c>
      <c r="K34" s="28">
        <f>VLOOKUP($H$10,'Listen und Kennwerte'!$B$4:$O$11,8,FALSE)</f>
        <v>11500</v>
      </c>
      <c r="L34" s="28">
        <f>VLOOKUP($H$10,'Listen und Kennwerte'!$B$4:$O$11,9,FALSE)</f>
        <v>9600</v>
      </c>
      <c r="M34" s="18" t="s">
        <v>136</v>
      </c>
      <c r="N34" s="29">
        <v>3.6</v>
      </c>
      <c r="O34" s="29">
        <v>0.6</v>
      </c>
      <c r="P34" s="29">
        <v>0.6</v>
      </c>
      <c r="Q34" s="18">
        <v>2</v>
      </c>
      <c r="R34" s="18" t="s">
        <v>171</v>
      </c>
      <c r="S34" s="18">
        <v>0.6</v>
      </c>
      <c r="T34" s="18">
        <v>1.3</v>
      </c>
      <c r="U34" s="28">
        <v>5000</v>
      </c>
      <c r="V34" s="18">
        <v>5</v>
      </c>
      <c r="W34" s="18">
        <v>100</v>
      </c>
      <c r="X34" s="18">
        <v>0</v>
      </c>
      <c r="Z34" s="32"/>
      <c r="AA34" s="32"/>
    </row>
    <row r="35" spans="2:27" x14ac:dyDescent="0.6">
      <c r="B35" s="18" t="s">
        <v>75</v>
      </c>
      <c r="C35" s="18" t="s">
        <v>46</v>
      </c>
      <c r="D35" s="18" t="s">
        <v>55</v>
      </c>
      <c r="E35" s="18" t="s">
        <v>48</v>
      </c>
      <c r="F35" s="18" t="s">
        <v>49</v>
      </c>
      <c r="G35" s="18" t="s">
        <v>169</v>
      </c>
      <c r="H35" s="18" t="s">
        <v>177</v>
      </c>
      <c r="I35" s="27">
        <f>VLOOKUP($H$10,'Listen und Kennwerte'!$B$4:$O$11,5,FALSE)</f>
        <v>24</v>
      </c>
      <c r="J35" s="27">
        <f>VLOOKUP($H$10,'Listen und Kennwerte'!$B$4:$O$11,2,FALSE)</f>
        <v>24</v>
      </c>
      <c r="K35" s="28">
        <f>VLOOKUP($H$10,'Listen und Kennwerte'!$B$4:$O$11,8,FALSE)</f>
        <v>11500</v>
      </c>
      <c r="L35" s="28">
        <f>VLOOKUP($H$10,'Listen und Kennwerte'!$B$4:$O$11,9,FALSE)</f>
        <v>9600</v>
      </c>
      <c r="M35" s="18" t="s">
        <v>136</v>
      </c>
      <c r="N35" s="29">
        <v>3.6</v>
      </c>
      <c r="O35" s="29">
        <v>0.6</v>
      </c>
      <c r="P35" s="29">
        <v>0.6</v>
      </c>
      <c r="Q35" s="18">
        <v>2</v>
      </c>
      <c r="R35" s="18" t="s">
        <v>171</v>
      </c>
      <c r="S35" s="18">
        <v>0.6</v>
      </c>
      <c r="T35" s="18">
        <v>1.3</v>
      </c>
      <c r="U35" s="28">
        <v>4000</v>
      </c>
      <c r="V35" s="18">
        <v>5</v>
      </c>
      <c r="W35" s="18">
        <v>120</v>
      </c>
      <c r="X35" s="18">
        <v>0</v>
      </c>
      <c r="Z35" s="32"/>
      <c r="AA35" s="32"/>
    </row>
    <row r="36" spans="2:27" x14ac:dyDescent="0.6">
      <c r="B36" s="18" t="s">
        <v>76</v>
      </c>
      <c r="C36" s="18" t="s">
        <v>46</v>
      </c>
      <c r="D36" s="18" t="s">
        <v>47</v>
      </c>
      <c r="E36" s="18" t="s">
        <v>48</v>
      </c>
      <c r="F36" s="18" t="s">
        <v>49</v>
      </c>
      <c r="G36" s="18" t="s">
        <v>169</v>
      </c>
      <c r="H36" s="18" t="s">
        <v>177</v>
      </c>
      <c r="I36" s="27">
        <f>VLOOKUP($H$10,'Listen und Kennwerte'!$B$4:$O$11,5,FALSE)</f>
        <v>24</v>
      </c>
      <c r="J36" s="27">
        <f>VLOOKUP($H$10,'Listen und Kennwerte'!$B$4:$O$11,2,FALSE)</f>
        <v>24</v>
      </c>
      <c r="K36" s="28">
        <f>VLOOKUP($H$10,'Listen und Kennwerte'!$B$4:$O$11,8,FALSE)</f>
        <v>11500</v>
      </c>
      <c r="L36" s="28">
        <f>VLOOKUP($H$10,'Listen und Kennwerte'!$B$4:$O$11,9,FALSE)</f>
        <v>9600</v>
      </c>
      <c r="M36" s="18" t="s">
        <v>136</v>
      </c>
      <c r="N36" s="29">
        <v>3.6</v>
      </c>
      <c r="O36" s="29">
        <v>0.6</v>
      </c>
      <c r="P36" s="29">
        <v>0.6</v>
      </c>
      <c r="Q36" s="18">
        <v>2</v>
      </c>
      <c r="R36" s="18" t="s">
        <v>171</v>
      </c>
      <c r="S36" s="18">
        <v>0.6</v>
      </c>
      <c r="T36" s="18">
        <v>1.3</v>
      </c>
      <c r="U36" s="28">
        <v>4000</v>
      </c>
      <c r="V36" s="18">
        <v>5</v>
      </c>
      <c r="W36" s="18">
        <v>120</v>
      </c>
      <c r="X36" s="18">
        <v>0</v>
      </c>
      <c r="Z36" s="32"/>
      <c r="AA36" s="32"/>
    </row>
    <row r="37" spans="2:27" x14ac:dyDescent="0.6">
      <c r="B37" s="18" t="s">
        <v>77</v>
      </c>
      <c r="C37" s="18" t="s">
        <v>46</v>
      </c>
      <c r="D37" s="18" t="s">
        <v>47</v>
      </c>
      <c r="E37" s="18" t="s">
        <v>48</v>
      </c>
      <c r="F37" s="18" t="s">
        <v>49</v>
      </c>
      <c r="G37" s="18" t="s">
        <v>169</v>
      </c>
      <c r="H37" s="18" t="s">
        <v>177</v>
      </c>
      <c r="I37" s="27">
        <f>VLOOKUP($H$10,'Listen und Kennwerte'!$B$4:$O$11,5,FALSE)</f>
        <v>24</v>
      </c>
      <c r="J37" s="27">
        <f>VLOOKUP($H$10,'Listen und Kennwerte'!$B$4:$O$11,2,FALSE)</f>
        <v>24</v>
      </c>
      <c r="K37" s="28">
        <f>VLOOKUP($H$10,'Listen und Kennwerte'!$B$4:$O$11,8,FALSE)</f>
        <v>11500</v>
      </c>
      <c r="L37" s="28">
        <f>VLOOKUP($H$10,'Listen und Kennwerte'!$B$4:$O$11,9,FALSE)</f>
        <v>9600</v>
      </c>
      <c r="M37" s="18" t="s">
        <v>136</v>
      </c>
      <c r="N37" s="29">
        <v>3.6</v>
      </c>
      <c r="O37" s="29">
        <v>0.6</v>
      </c>
      <c r="P37" s="29">
        <v>0.6</v>
      </c>
      <c r="Q37" s="18">
        <v>2</v>
      </c>
      <c r="R37" s="18" t="s">
        <v>171</v>
      </c>
      <c r="S37" s="18">
        <v>0.6</v>
      </c>
      <c r="T37" s="18">
        <v>1.3</v>
      </c>
      <c r="U37" s="28">
        <v>4000</v>
      </c>
      <c r="V37" s="18">
        <v>5</v>
      </c>
      <c r="W37" s="18">
        <v>120</v>
      </c>
      <c r="X37" s="18">
        <v>0</v>
      </c>
      <c r="Z37" s="32"/>
      <c r="AA37" s="32"/>
    </row>
    <row r="38" spans="2:27" x14ac:dyDescent="0.6">
      <c r="B38" s="18" t="s">
        <v>78</v>
      </c>
      <c r="C38" s="18" t="s">
        <v>46</v>
      </c>
      <c r="D38" s="18" t="s">
        <v>47</v>
      </c>
      <c r="E38" s="18" t="s">
        <v>48</v>
      </c>
      <c r="F38" s="18" t="s">
        <v>49</v>
      </c>
      <c r="G38" s="18" t="s">
        <v>169</v>
      </c>
      <c r="H38" s="18" t="s">
        <v>177</v>
      </c>
      <c r="I38" s="27">
        <f>VLOOKUP($H$10,'Listen und Kennwerte'!$B$4:$O$11,5,FALSE)</f>
        <v>24</v>
      </c>
      <c r="J38" s="27">
        <f>VLOOKUP($H$10,'Listen und Kennwerte'!$B$4:$O$11,2,FALSE)</f>
        <v>24</v>
      </c>
      <c r="K38" s="28">
        <f>VLOOKUP($H$10,'Listen und Kennwerte'!$B$4:$O$11,8,FALSE)</f>
        <v>11500</v>
      </c>
      <c r="L38" s="28">
        <f>VLOOKUP($H$10,'Listen und Kennwerte'!$B$4:$O$11,9,FALSE)</f>
        <v>9600</v>
      </c>
      <c r="M38" s="18" t="s">
        <v>136</v>
      </c>
      <c r="N38" s="29">
        <v>3.6</v>
      </c>
      <c r="O38" s="29">
        <v>0.6</v>
      </c>
      <c r="P38" s="29">
        <v>0.6</v>
      </c>
      <c r="Q38" s="18">
        <v>2</v>
      </c>
      <c r="R38" s="18" t="s">
        <v>171</v>
      </c>
      <c r="S38" s="18">
        <v>0.6</v>
      </c>
      <c r="T38" s="18">
        <v>1.3</v>
      </c>
      <c r="U38" s="28">
        <v>3000</v>
      </c>
      <c r="V38" s="18">
        <v>5</v>
      </c>
      <c r="W38" s="18">
        <v>100</v>
      </c>
      <c r="X38" s="18">
        <v>0</v>
      </c>
      <c r="Z38" s="32"/>
      <c r="AA38" s="32"/>
    </row>
    <row r="39" spans="2:27" x14ac:dyDescent="0.6">
      <c r="B39" s="18" t="s">
        <v>79</v>
      </c>
      <c r="C39" s="18" t="s">
        <v>46</v>
      </c>
      <c r="D39" s="18" t="s">
        <v>47</v>
      </c>
      <c r="E39" s="18" t="s">
        <v>48</v>
      </c>
      <c r="F39" s="18" t="s">
        <v>49</v>
      </c>
      <c r="G39" s="18" t="s">
        <v>169</v>
      </c>
      <c r="H39" s="18" t="s">
        <v>177</v>
      </c>
      <c r="I39" s="27">
        <f>VLOOKUP($H$10,'Listen und Kennwerte'!$B$4:$O$11,5,FALSE)</f>
        <v>24</v>
      </c>
      <c r="J39" s="27">
        <f>VLOOKUP($H$10,'Listen und Kennwerte'!$B$4:$O$11,2,FALSE)</f>
        <v>24</v>
      </c>
      <c r="K39" s="28">
        <f>VLOOKUP($H$10,'Listen und Kennwerte'!$B$4:$O$11,8,FALSE)</f>
        <v>11500</v>
      </c>
      <c r="L39" s="28">
        <f>VLOOKUP($H$10,'Listen und Kennwerte'!$B$4:$O$11,9,FALSE)</f>
        <v>9600</v>
      </c>
      <c r="M39" s="18" t="s">
        <v>136</v>
      </c>
      <c r="N39" s="29">
        <v>3.6</v>
      </c>
      <c r="O39" s="29">
        <v>0.6</v>
      </c>
      <c r="P39" s="29">
        <v>0.6</v>
      </c>
      <c r="Q39" s="18">
        <v>2</v>
      </c>
      <c r="R39" s="18" t="s">
        <v>171</v>
      </c>
      <c r="S39" s="18">
        <v>0.6</v>
      </c>
      <c r="T39" s="18">
        <v>1.3</v>
      </c>
      <c r="U39" s="28">
        <v>4000</v>
      </c>
      <c r="V39" s="18">
        <v>5</v>
      </c>
      <c r="W39" s="18">
        <v>120</v>
      </c>
      <c r="X39" s="18">
        <v>0</v>
      </c>
      <c r="Z39" s="32"/>
      <c r="AA39" s="32"/>
    </row>
    <row r="40" spans="2:27" x14ac:dyDescent="0.6">
      <c r="B40" s="18" t="s">
        <v>80</v>
      </c>
      <c r="C40" s="18" t="s">
        <v>46</v>
      </c>
      <c r="D40" s="18" t="s">
        <v>47</v>
      </c>
      <c r="E40" s="18" t="s">
        <v>48</v>
      </c>
      <c r="F40" s="18" t="s">
        <v>49</v>
      </c>
      <c r="G40" s="18" t="s">
        <v>169</v>
      </c>
      <c r="H40" s="18" t="s">
        <v>177</v>
      </c>
      <c r="I40" s="27">
        <f>VLOOKUP($H$10,'Listen und Kennwerte'!$B$4:$O$11,5,FALSE)</f>
        <v>24</v>
      </c>
      <c r="J40" s="27">
        <f>VLOOKUP($H$10,'Listen und Kennwerte'!$B$4:$O$11,2,FALSE)</f>
        <v>24</v>
      </c>
      <c r="K40" s="28">
        <f>VLOOKUP($H$10,'Listen und Kennwerte'!$B$4:$O$11,8,FALSE)</f>
        <v>11500</v>
      </c>
      <c r="L40" s="28">
        <f>VLOOKUP($H$10,'Listen und Kennwerte'!$B$4:$O$11,9,FALSE)</f>
        <v>9600</v>
      </c>
      <c r="M40" s="18" t="s">
        <v>136</v>
      </c>
      <c r="N40" s="29">
        <v>3.6</v>
      </c>
      <c r="O40" s="29">
        <v>0.6</v>
      </c>
      <c r="P40" s="29">
        <v>0.6</v>
      </c>
      <c r="Q40" s="18">
        <v>2</v>
      </c>
      <c r="R40" s="18" t="s">
        <v>171</v>
      </c>
      <c r="S40" s="18">
        <v>0.6</v>
      </c>
      <c r="T40" s="18">
        <v>1.3</v>
      </c>
      <c r="U40" s="28">
        <v>4000</v>
      </c>
      <c r="V40" s="18">
        <v>5</v>
      </c>
      <c r="W40" s="18">
        <v>120</v>
      </c>
      <c r="X40" s="18">
        <v>0</v>
      </c>
      <c r="Z40" s="32"/>
      <c r="AA40" s="32"/>
    </row>
    <row r="41" spans="2:27" x14ac:dyDescent="0.6">
      <c r="B41" s="18" t="s">
        <v>81</v>
      </c>
      <c r="C41" s="18" t="s">
        <v>46</v>
      </c>
      <c r="D41" s="18" t="s">
        <v>47</v>
      </c>
      <c r="E41" s="18" t="s">
        <v>48</v>
      </c>
      <c r="F41" s="18" t="s">
        <v>49</v>
      </c>
      <c r="G41" s="18" t="s">
        <v>169</v>
      </c>
      <c r="H41" s="18" t="s">
        <v>177</v>
      </c>
      <c r="I41" s="27">
        <f>VLOOKUP($H$10,'Listen und Kennwerte'!$B$4:$O$11,5,FALSE)</f>
        <v>24</v>
      </c>
      <c r="J41" s="27">
        <f>VLOOKUP($H$10,'Listen und Kennwerte'!$B$4:$O$11,2,FALSE)</f>
        <v>24</v>
      </c>
      <c r="K41" s="28">
        <f>VLOOKUP($H$10,'Listen und Kennwerte'!$B$4:$O$11,8,FALSE)</f>
        <v>11500</v>
      </c>
      <c r="L41" s="28">
        <f>VLOOKUP($H$10,'Listen und Kennwerte'!$B$4:$O$11,9,FALSE)</f>
        <v>9600</v>
      </c>
      <c r="M41" s="18" t="s">
        <v>136</v>
      </c>
      <c r="N41" s="29">
        <v>3.6</v>
      </c>
      <c r="O41" s="29">
        <v>0.6</v>
      </c>
      <c r="P41" s="29">
        <v>0.6</v>
      </c>
      <c r="Q41" s="18">
        <v>2</v>
      </c>
      <c r="R41" s="18" t="s">
        <v>171</v>
      </c>
      <c r="S41" s="18">
        <v>0.6</v>
      </c>
      <c r="T41" s="18">
        <v>1.3</v>
      </c>
      <c r="U41" s="28">
        <v>4000</v>
      </c>
      <c r="V41" s="18">
        <v>5</v>
      </c>
      <c r="W41" s="18">
        <v>120</v>
      </c>
      <c r="X41" s="18">
        <v>0</v>
      </c>
      <c r="Z41" s="32"/>
      <c r="AA41" s="32"/>
    </row>
    <row r="42" spans="2:27" x14ac:dyDescent="0.6">
      <c r="B42" s="18" t="s">
        <v>82</v>
      </c>
      <c r="C42" s="18" t="s">
        <v>46</v>
      </c>
      <c r="D42" s="18" t="s">
        <v>47</v>
      </c>
      <c r="E42" s="18" t="s">
        <v>48</v>
      </c>
      <c r="F42" s="18" t="s">
        <v>49</v>
      </c>
      <c r="G42" s="18" t="s">
        <v>169</v>
      </c>
      <c r="H42" s="18" t="s">
        <v>177</v>
      </c>
      <c r="I42" s="27">
        <f>VLOOKUP($H$10,'Listen und Kennwerte'!$B$4:$O$11,5,FALSE)</f>
        <v>24</v>
      </c>
      <c r="J42" s="27">
        <f>VLOOKUP($H$10,'Listen und Kennwerte'!$B$4:$O$11,2,FALSE)</f>
        <v>24</v>
      </c>
      <c r="K42" s="28">
        <f>VLOOKUP($H$10,'Listen und Kennwerte'!$B$4:$O$11,8,FALSE)</f>
        <v>11500</v>
      </c>
      <c r="L42" s="28">
        <f>VLOOKUP($H$10,'Listen und Kennwerte'!$B$4:$O$11,9,FALSE)</f>
        <v>9600</v>
      </c>
      <c r="M42" s="18" t="s">
        <v>136</v>
      </c>
      <c r="N42" s="29">
        <v>3.6</v>
      </c>
      <c r="O42" s="29">
        <v>0.6</v>
      </c>
      <c r="P42" s="29">
        <v>0.6</v>
      </c>
      <c r="Q42" s="18">
        <v>2</v>
      </c>
      <c r="R42" s="18" t="s">
        <v>171</v>
      </c>
      <c r="S42" s="18">
        <v>0.6</v>
      </c>
      <c r="T42" s="18">
        <v>1.3</v>
      </c>
      <c r="U42" s="28">
        <v>3500</v>
      </c>
      <c r="V42" s="18">
        <v>5</v>
      </c>
      <c r="W42" s="18">
        <v>100</v>
      </c>
      <c r="X42" s="18">
        <v>0</v>
      </c>
      <c r="Z42" s="32"/>
      <c r="AA42" s="32"/>
    </row>
    <row r="43" spans="2:27" x14ac:dyDescent="0.6">
      <c r="B43" s="18" t="s">
        <v>83</v>
      </c>
      <c r="C43" s="18" t="s">
        <v>46</v>
      </c>
      <c r="D43" s="18" t="s">
        <v>55</v>
      </c>
      <c r="E43" s="18" t="s">
        <v>48</v>
      </c>
      <c r="F43" s="18" t="s">
        <v>49</v>
      </c>
      <c r="G43" s="18" t="s">
        <v>169</v>
      </c>
      <c r="H43" s="18" t="s">
        <v>177</v>
      </c>
      <c r="I43" s="27">
        <f>VLOOKUP($H$10,'Listen und Kennwerte'!$B$4:$O$11,5,FALSE)</f>
        <v>24</v>
      </c>
      <c r="J43" s="27">
        <f>VLOOKUP($H$10,'Listen und Kennwerte'!$B$4:$O$11,2,FALSE)</f>
        <v>24</v>
      </c>
      <c r="K43" s="28">
        <f>VLOOKUP($H$10,'Listen und Kennwerte'!$B$4:$O$11,8,FALSE)</f>
        <v>11500</v>
      </c>
      <c r="L43" s="28">
        <f>VLOOKUP($H$10,'Listen und Kennwerte'!$B$4:$O$11,9,FALSE)</f>
        <v>9600</v>
      </c>
      <c r="M43" s="18" t="s">
        <v>136</v>
      </c>
      <c r="N43" s="29">
        <v>3.6</v>
      </c>
      <c r="O43" s="29">
        <v>0.6</v>
      </c>
      <c r="P43" s="29">
        <v>0.6</v>
      </c>
      <c r="Q43" s="18">
        <v>2</v>
      </c>
      <c r="R43" s="18" t="s">
        <v>171</v>
      </c>
      <c r="S43" s="18">
        <v>0.6</v>
      </c>
      <c r="T43" s="18">
        <v>1.3</v>
      </c>
      <c r="U43" s="28">
        <v>3500</v>
      </c>
      <c r="V43" s="18">
        <v>5</v>
      </c>
      <c r="W43" s="18">
        <v>120</v>
      </c>
      <c r="X43" s="18">
        <v>0</v>
      </c>
      <c r="Z43" s="32"/>
      <c r="AA43" s="32"/>
    </row>
    <row r="44" spans="2:27" x14ac:dyDescent="0.6">
      <c r="B44" s="18" t="s">
        <v>84</v>
      </c>
      <c r="C44" s="18" t="s">
        <v>46</v>
      </c>
      <c r="D44" s="18" t="s">
        <v>55</v>
      </c>
      <c r="E44" s="18" t="s">
        <v>48</v>
      </c>
      <c r="F44" s="18" t="s">
        <v>49</v>
      </c>
      <c r="G44" s="18" t="s">
        <v>169</v>
      </c>
      <c r="H44" s="18" t="s">
        <v>177</v>
      </c>
      <c r="I44" s="27">
        <f>VLOOKUP($H$10,'Listen und Kennwerte'!$B$4:$O$11,5,FALSE)</f>
        <v>24</v>
      </c>
      <c r="J44" s="27">
        <f>VLOOKUP($H$10,'Listen und Kennwerte'!$B$4:$O$11,2,FALSE)</f>
        <v>24</v>
      </c>
      <c r="K44" s="28">
        <f>VLOOKUP($H$10,'Listen und Kennwerte'!$B$4:$O$11,8,FALSE)</f>
        <v>11500</v>
      </c>
      <c r="L44" s="28">
        <f>VLOOKUP($H$10,'Listen und Kennwerte'!$B$4:$O$11,9,FALSE)</f>
        <v>9600</v>
      </c>
      <c r="M44" s="18" t="s">
        <v>136</v>
      </c>
      <c r="N44" s="29">
        <v>3.6</v>
      </c>
      <c r="O44" s="29">
        <v>0.6</v>
      </c>
      <c r="P44" s="29">
        <v>0.6</v>
      </c>
      <c r="Q44" s="18">
        <v>2</v>
      </c>
      <c r="R44" s="18" t="s">
        <v>171</v>
      </c>
      <c r="S44" s="18">
        <v>0.6</v>
      </c>
      <c r="T44" s="18">
        <v>1.3</v>
      </c>
      <c r="U44" s="28">
        <v>5000</v>
      </c>
      <c r="V44" s="18">
        <v>5</v>
      </c>
      <c r="W44" s="18">
        <v>100</v>
      </c>
      <c r="X44" s="18">
        <v>0</v>
      </c>
      <c r="Z44" s="32"/>
      <c r="AA44" s="32"/>
    </row>
    <row r="45" spans="2:27" x14ac:dyDescent="0.6">
      <c r="B45" s="18" t="s">
        <v>85</v>
      </c>
      <c r="C45" s="18" t="s">
        <v>46</v>
      </c>
      <c r="D45" s="18" t="s">
        <v>55</v>
      </c>
      <c r="E45" s="18" t="s">
        <v>48</v>
      </c>
      <c r="F45" s="18" t="s">
        <v>49</v>
      </c>
      <c r="G45" s="18" t="s">
        <v>169</v>
      </c>
      <c r="H45" s="18" t="s">
        <v>177</v>
      </c>
      <c r="I45" s="27">
        <f>VLOOKUP($H$10,'Listen und Kennwerte'!$B$4:$O$11,5,FALSE)</f>
        <v>24</v>
      </c>
      <c r="J45" s="27">
        <f>VLOOKUP($H$10,'Listen und Kennwerte'!$B$4:$O$11,2,FALSE)</f>
        <v>24</v>
      </c>
      <c r="K45" s="28">
        <f>VLOOKUP($H$10,'Listen und Kennwerte'!$B$4:$O$11,8,FALSE)</f>
        <v>11500</v>
      </c>
      <c r="L45" s="28">
        <f>VLOOKUP($H$10,'Listen und Kennwerte'!$B$4:$O$11,9,FALSE)</f>
        <v>9600</v>
      </c>
      <c r="M45" s="18" t="s">
        <v>136</v>
      </c>
      <c r="N45" s="29">
        <v>3.6</v>
      </c>
      <c r="O45" s="29">
        <v>0.6</v>
      </c>
      <c r="P45" s="29">
        <v>0.6</v>
      </c>
      <c r="Q45" s="18">
        <v>2</v>
      </c>
      <c r="R45" s="18" t="s">
        <v>171</v>
      </c>
      <c r="S45" s="18">
        <v>0.6</v>
      </c>
      <c r="T45" s="18">
        <v>1.3</v>
      </c>
      <c r="U45" s="28">
        <v>4000</v>
      </c>
      <c r="V45" s="18">
        <v>5</v>
      </c>
      <c r="W45" s="18">
        <v>120</v>
      </c>
      <c r="X45" s="18">
        <v>0</v>
      </c>
      <c r="Z45" s="32"/>
      <c r="AA45" s="32"/>
    </row>
    <row r="46" spans="2:27" x14ac:dyDescent="0.6">
      <c r="B46" s="18" t="s">
        <v>86</v>
      </c>
      <c r="C46" s="18" t="s">
        <v>46</v>
      </c>
      <c r="D46" s="18" t="s">
        <v>55</v>
      </c>
      <c r="E46" s="18" t="s">
        <v>48</v>
      </c>
      <c r="F46" s="18" t="s">
        <v>49</v>
      </c>
      <c r="G46" s="18" t="s">
        <v>169</v>
      </c>
      <c r="H46" s="18" t="s">
        <v>177</v>
      </c>
      <c r="I46" s="27">
        <f>VLOOKUP($H$10,'Listen und Kennwerte'!$B$4:$O$11,5,FALSE)</f>
        <v>24</v>
      </c>
      <c r="J46" s="27">
        <f>VLOOKUP($H$10,'Listen und Kennwerte'!$B$4:$O$11,2,FALSE)</f>
        <v>24</v>
      </c>
      <c r="K46" s="28">
        <f>VLOOKUP($H$10,'Listen und Kennwerte'!$B$4:$O$11,8,FALSE)</f>
        <v>11500</v>
      </c>
      <c r="L46" s="28">
        <f>VLOOKUP($H$10,'Listen und Kennwerte'!$B$4:$O$11,9,FALSE)</f>
        <v>9600</v>
      </c>
      <c r="M46" s="18" t="s">
        <v>136</v>
      </c>
      <c r="N46" s="29">
        <v>3.6</v>
      </c>
      <c r="O46" s="29">
        <v>0.6</v>
      </c>
      <c r="P46" s="29">
        <v>0.6</v>
      </c>
      <c r="Q46" s="18">
        <v>2</v>
      </c>
      <c r="R46" s="18" t="s">
        <v>171</v>
      </c>
      <c r="S46" s="18">
        <v>0.6</v>
      </c>
      <c r="T46" s="18">
        <v>1.3</v>
      </c>
      <c r="U46" s="28">
        <v>4000</v>
      </c>
      <c r="V46" s="18">
        <v>5</v>
      </c>
      <c r="W46" s="18">
        <v>120</v>
      </c>
      <c r="X46" s="18">
        <v>0</v>
      </c>
      <c r="Z46" s="32"/>
      <c r="AA46" s="32"/>
    </row>
    <row r="47" spans="2:27" x14ac:dyDescent="0.6">
      <c r="B47" s="18" t="s">
        <v>87</v>
      </c>
      <c r="C47" s="18" t="s">
        <v>46</v>
      </c>
      <c r="D47" s="18" t="s">
        <v>55</v>
      </c>
      <c r="E47" s="18" t="s">
        <v>48</v>
      </c>
      <c r="F47" s="18" t="s">
        <v>49</v>
      </c>
      <c r="G47" s="18" t="s">
        <v>169</v>
      </c>
      <c r="H47" s="18" t="s">
        <v>177</v>
      </c>
      <c r="I47" s="27">
        <f>VLOOKUP($H$10,'Listen und Kennwerte'!$B$4:$O$11,5,FALSE)</f>
        <v>24</v>
      </c>
      <c r="J47" s="27">
        <f>VLOOKUP($H$10,'Listen und Kennwerte'!$B$4:$O$11,2,FALSE)</f>
        <v>24</v>
      </c>
      <c r="K47" s="28">
        <f>VLOOKUP($H$10,'Listen und Kennwerte'!$B$4:$O$11,8,FALSE)</f>
        <v>11500</v>
      </c>
      <c r="L47" s="28">
        <f>VLOOKUP($H$10,'Listen und Kennwerte'!$B$4:$O$11,9,FALSE)</f>
        <v>9600</v>
      </c>
      <c r="M47" s="18" t="s">
        <v>136</v>
      </c>
      <c r="N47" s="29">
        <v>3.6</v>
      </c>
      <c r="O47" s="29">
        <v>0.6</v>
      </c>
      <c r="P47" s="29">
        <v>0.6</v>
      </c>
      <c r="Q47" s="18">
        <v>2</v>
      </c>
      <c r="R47" s="18" t="s">
        <v>171</v>
      </c>
      <c r="S47" s="18">
        <v>0.6</v>
      </c>
      <c r="T47" s="18">
        <v>1.3</v>
      </c>
      <c r="U47" s="28">
        <v>4500</v>
      </c>
      <c r="V47" s="18">
        <v>5</v>
      </c>
      <c r="W47" s="18">
        <v>0</v>
      </c>
      <c r="X47" s="18">
        <v>0</v>
      </c>
      <c r="Z47" s="32"/>
      <c r="AA47" s="32"/>
    </row>
    <row r="48" spans="2:27" x14ac:dyDescent="0.6">
      <c r="B48" s="18" t="s">
        <v>88</v>
      </c>
      <c r="C48" s="18" t="s">
        <v>46</v>
      </c>
      <c r="D48" s="18" t="s">
        <v>55</v>
      </c>
      <c r="E48" s="18" t="s">
        <v>48</v>
      </c>
      <c r="F48" s="18" t="s">
        <v>49</v>
      </c>
      <c r="G48" s="18" t="s">
        <v>169</v>
      </c>
      <c r="H48" s="18" t="s">
        <v>177</v>
      </c>
      <c r="I48" s="27">
        <f>VLOOKUP($H$10,'Listen und Kennwerte'!$B$4:$O$11,5,FALSE)</f>
        <v>24</v>
      </c>
      <c r="J48" s="27">
        <f>VLOOKUP($H$10,'Listen und Kennwerte'!$B$4:$O$11,2,FALSE)</f>
        <v>24</v>
      </c>
      <c r="K48" s="28">
        <f>VLOOKUP($H$10,'Listen und Kennwerte'!$B$4:$O$11,8,FALSE)</f>
        <v>11500</v>
      </c>
      <c r="L48" s="28">
        <f>VLOOKUP($H$10,'Listen und Kennwerte'!$B$4:$O$11,9,FALSE)</f>
        <v>9600</v>
      </c>
      <c r="M48" s="18" t="s">
        <v>136</v>
      </c>
      <c r="N48" s="29">
        <v>3.6</v>
      </c>
      <c r="O48" s="29">
        <v>0.6</v>
      </c>
      <c r="P48" s="29">
        <v>0.6</v>
      </c>
      <c r="Q48" s="18">
        <v>2</v>
      </c>
      <c r="R48" s="18" t="s">
        <v>171</v>
      </c>
      <c r="S48" s="18">
        <v>0.6</v>
      </c>
      <c r="T48" s="18">
        <v>1.3</v>
      </c>
      <c r="U48" s="28">
        <v>4500</v>
      </c>
      <c r="V48" s="18">
        <v>5</v>
      </c>
      <c r="W48" s="18">
        <v>0</v>
      </c>
      <c r="X48" s="18">
        <v>0</v>
      </c>
      <c r="Z48" s="32"/>
      <c r="AA48" s="32"/>
    </row>
    <row r="49" spans="2:27" x14ac:dyDescent="0.6">
      <c r="B49" s="18" t="s">
        <v>89</v>
      </c>
      <c r="C49" s="18" t="s">
        <v>46</v>
      </c>
      <c r="D49" s="18" t="s">
        <v>55</v>
      </c>
      <c r="E49" s="18" t="s">
        <v>48</v>
      </c>
      <c r="F49" s="18" t="s">
        <v>49</v>
      </c>
      <c r="G49" s="18" t="s">
        <v>169</v>
      </c>
      <c r="H49" s="18" t="s">
        <v>177</v>
      </c>
      <c r="I49" s="27">
        <f>VLOOKUP($H$10,'Listen und Kennwerte'!$B$4:$O$11,5,FALSE)</f>
        <v>24</v>
      </c>
      <c r="J49" s="27">
        <f>VLOOKUP($H$10,'Listen und Kennwerte'!$B$4:$O$11,2,FALSE)</f>
        <v>24</v>
      </c>
      <c r="K49" s="28">
        <f>VLOOKUP($H$10,'Listen und Kennwerte'!$B$4:$O$11,8,FALSE)</f>
        <v>11500</v>
      </c>
      <c r="L49" s="28">
        <f>VLOOKUP($H$10,'Listen und Kennwerte'!$B$4:$O$11,9,FALSE)</f>
        <v>9600</v>
      </c>
      <c r="M49" s="18" t="s">
        <v>136</v>
      </c>
      <c r="N49" s="29">
        <v>3.6</v>
      </c>
      <c r="O49" s="29">
        <v>0.6</v>
      </c>
      <c r="P49" s="29">
        <v>0.6</v>
      </c>
      <c r="Q49" s="18">
        <v>2</v>
      </c>
      <c r="R49" s="18" t="s">
        <v>171</v>
      </c>
      <c r="S49" s="18">
        <v>0.6</v>
      </c>
      <c r="T49" s="18">
        <v>1.3</v>
      </c>
      <c r="U49" s="28">
        <v>4500</v>
      </c>
      <c r="V49" s="18">
        <v>5</v>
      </c>
      <c r="W49" s="18">
        <v>0</v>
      </c>
      <c r="X49" s="18">
        <v>0</v>
      </c>
      <c r="Z49" s="32"/>
      <c r="AA49" s="32"/>
    </row>
    <row r="50" spans="2:27" x14ac:dyDescent="0.6">
      <c r="B50" s="18" t="s">
        <v>90</v>
      </c>
      <c r="C50" s="18" t="s">
        <v>46</v>
      </c>
      <c r="D50" s="18" t="s">
        <v>55</v>
      </c>
      <c r="E50" s="18" t="s">
        <v>48</v>
      </c>
      <c r="F50" s="18" t="s">
        <v>49</v>
      </c>
      <c r="G50" s="18" t="s">
        <v>169</v>
      </c>
      <c r="H50" s="18" t="s">
        <v>177</v>
      </c>
      <c r="I50" s="27">
        <f>VLOOKUP($H$10,'Listen und Kennwerte'!$B$4:$O$11,5,FALSE)</f>
        <v>24</v>
      </c>
      <c r="J50" s="27">
        <f>VLOOKUP($H$10,'Listen und Kennwerte'!$B$4:$O$11,2,FALSE)</f>
        <v>24</v>
      </c>
      <c r="K50" s="28">
        <f>VLOOKUP($H$10,'Listen und Kennwerte'!$B$4:$O$11,8,FALSE)</f>
        <v>11500</v>
      </c>
      <c r="L50" s="28">
        <f>VLOOKUP($H$10,'Listen und Kennwerte'!$B$4:$O$11,9,FALSE)</f>
        <v>9600</v>
      </c>
      <c r="M50" s="18" t="s">
        <v>136</v>
      </c>
      <c r="N50" s="29">
        <v>3.6</v>
      </c>
      <c r="O50" s="29">
        <v>0.6</v>
      </c>
      <c r="P50" s="29">
        <v>0.6</v>
      </c>
      <c r="Q50" s="18">
        <v>2</v>
      </c>
      <c r="R50" s="18" t="s">
        <v>171</v>
      </c>
      <c r="S50" s="18">
        <v>0.6</v>
      </c>
      <c r="T50" s="18">
        <v>1.3</v>
      </c>
      <c r="U50" s="28">
        <v>5500</v>
      </c>
      <c r="V50" s="18">
        <v>5</v>
      </c>
      <c r="W50" s="18">
        <v>0</v>
      </c>
      <c r="X50" s="18">
        <v>0</v>
      </c>
      <c r="Z50" s="32"/>
      <c r="AA50" s="32"/>
    </row>
    <row r="51" spans="2:27" x14ac:dyDescent="0.6">
      <c r="B51" s="18" t="s">
        <v>91</v>
      </c>
      <c r="C51" s="18" t="s">
        <v>46</v>
      </c>
      <c r="D51" s="18" t="s">
        <v>55</v>
      </c>
      <c r="E51" s="18" t="s">
        <v>48</v>
      </c>
      <c r="F51" s="18" t="s">
        <v>49</v>
      </c>
      <c r="G51" s="18" t="s">
        <v>169</v>
      </c>
      <c r="H51" s="18" t="s">
        <v>177</v>
      </c>
      <c r="I51" s="27">
        <f>VLOOKUP($H$10,'Listen und Kennwerte'!$B$4:$O$11,5,FALSE)</f>
        <v>24</v>
      </c>
      <c r="J51" s="27">
        <f>VLOOKUP($H$10,'Listen und Kennwerte'!$B$4:$O$11,2,FALSE)</f>
        <v>24</v>
      </c>
      <c r="K51" s="28">
        <f>VLOOKUP($H$10,'Listen und Kennwerte'!$B$4:$O$11,8,FALSE)</f>
        <v>11500</v>
      </c>
      <c r="L51" s="28">
        <f>VLOOKUP($H$10,'Listen und Kennwerte'!$B$4:$O$11,9,FALSE)</f>
        <v>9600</v>
      </c>
      <c r="M51" s="18" t="s">
        <v>136</v>
      </c>
      <c r="N51" s="29">
        <v>3.6</v>
      </c>
      <c r="O51" s="29">
        <v>0.6</v>
      </c>
      <c r="P51" s="29">
        <v>0.6</v>
      </c>
      <c r="Q51" s="18">
        <v>2</v>
      </c>
      <c r="R51" s="18" t="s">
        <v>171</v>
      </c>
      <c r="S51" s="18">
        <v>0.6</v>
      </c>
      <c r="T51" s="18">
        <v>1.3</v>
      </c>
      <c r="U51" s="28">
        <v>5500</v>
      </c>
      <c r="V51" s="18">
        <v>5</v>
      </c>
      <c r="W51" s="18">
        <v>0</v>
      </c>
      <c r="X51" s="18">
        <v>0</v>
      </c>
      <c r="Z51" s="32"/>
      <c r="AA51" s="32"/>
    </row>
    <row r="52" spans="2:27" x14ac:dyDescent="0.6">
      <c r="B52" s="18" t="s">
        <v>92</v>
      </c>
      <c r="C52" s="18" t="s">
        <v>46</v>
      </c>
      <c r="D52" s="18" t="s">
        <v>55</v>
      </c>
      <c r="E52" s="18" t="s">
        <v>48</v>
      </c>
      <c r="F52" s="18" t="s">
        <v>49</v>
      </c>
      <c r="G52" s="18" t="s">
        <v>169</v>
      </c>
      <c r="H52" s="18" t="s">
        <v>177</v>
      </c>
      <c r="I52" s="27">
        <f>VLOOKUP($H$10,'Listen und Kennwerte'!$B$4:$O$11,5,FALSE)</f>
        <v>24</v>
      </c>
      <c r="J52" s="27">
        <f>VLOOKUP($H$10,'Listen und Kennwerte'!$B$4:$O$11,2,FALSE)</f>
        <v>24</v>
      </c>
      <c r="K52" s="28">
        <f>VLOOKUP($H$10,'Listen und Kennwerte'!$B$4:$O$11,8,FALSE)</f>
        <v>11500</v>
      </c>
      <c r="L52" s="28">
        <f>VLOOKUP($H$10,'Listen und Kennwerte'!$B$4:$O$11,9,FALSE)</f>
        <v>9600</v>
      </c>
      <c r="M52" s="18" t="s">
        <v>136</v>
      </c>
      <c r="N52" s="29">
        <v>3.6</v>
      </c>
      <c r="O52" s="29">
        <v>0.6</v>
      </c>
      <c r="P52" s="29">
        <v>0.6</v>
      </c>
      <c r="Q52" s="18">
        <v>2</v>
      </c>
      <c r="R52" s="18" t="s">
        <v>171</v>
      </c>
      <c r="S52" s="18">
        <v>0.6</v>
      </c>
      <c r="T52" s="18">
        <v>1.3</v>
      </c>
      <c r="U52" s="28">
        <v>5500</v>
      </c>
      <c r="V52" s="18">
        <v>5</v>
      </c>
      <c r="W52" s="18">
        <v>0</v>
      </c>
      <c r="X52" s="18">
        <v>0</v>
      </c>
      <c r="Z52" s="32"/>
      <c r="AA52" s="32"/>
    </row>
    <row r="53" spans="2:27" x14ac:dyDescent="0.6">
      <c r="B53" s="18" t="s">
        <v>93</v>
      </c>
      <c r="C53" s="18" t="s">
        <v>46</v>
      </c>
      <c r="D53" s="18" t="s">
        <v>55</v>
      </c>
      <c r="E53" s="18" t="s">
        <v>48</v>
      </c>
      <c r="F53" s="18" t="s">
        <v>49</v>
      </c>
      <c r="G53" s="18" t="s">
        <v>169</v>
      </c>
      <c r="H53" s="18" t="s">
        <v>177</v>
      </c>
      <c r="I53" s="27">
        <f>VLOOKUP($H$10,'Listen und Kennwerte'!$B$4:$O$11,5,FALSE)</f>
        <v>24</v>
      </c>
      <c r="J53" s="27">
        <f>VLOOKUP($H$10,'Listen und Kennwerte'!$B$4:$O$11,2,FALSE)</f>
        <v>24</v>
      </c>
      <c r="K53" s="28">
        <f>VLOOKUP($H$10,'Listen und Kennwerte'!$B$4:$O$11,8,FALSE)</f>
        <v>11500</v>
      </c>
      <c r="L53" s="28">
        <f>VLOOKUP($H$10,'Listen und Kennwerte'!$B$4:$O$11,9,FALSE)</f>
        <v>9600</v>
      </c>
      <c r="M53" s="18" t="s">
        <v>136</v>
      </c>
      <c r="N53" s="29">
        <v>3.6</v>
      </c>
      <c r="O53" s="29">
        <v>0.6</v>
      </c>
      <c r="P53" s="29">
        <v>0.6</v>
      </c>
      <c r="Q53" s="18">
        <v>2</v>
      </c>
      <c r="R53" s="18" t="s">
        <v>171</v>
      </c>
      <c r="S53" s="18">
        <v>0.6</v>
      </c>
      <c r="T53" s="18">
        <v>1.3</v>
      </c>
      <c r="U53" s="28">
        <v>4500</v>
      </c>
      <c r="V53" s="18">
        <v>5</v>
      </c>
      <c r="W53" s="18">
        <v>0</v>
      </c>
      <c r="X53" s="18">
        <v>0</v>
      </c>
      <c r="Z53" s="32"/>
      <c r="AA53" s="32"/>
    </row>
    <row r="54" spans="2:27" x14ac:dyDescent="0.6">
      <c r="B54" s="18" t="s">
        <v>94</v>
      </c>
      <c r="C54" s="18" t="s">
        <v>46</v>
      </c>
      <c r="D54" s="18" t="s">
        <v>47</v>
      </c>
      <c r="E54" s="18" t="s">
        <v>48</v>
      </c>
      <c r="F54" s="18" t="s">
        <v>49</v>
      </c>
      <c r="G54" s="18" t="s">
        <v>169</v>
      </c>
      <c r="H54" s="18" t="s">
        <v>177</v>
      </c>
      <c r="I54" s="27">
        <f>VLOOKUP($H$10,'Listen und Kennwerte'!$B$4:$O$11,5,FALSE)</f>
        <v>24</v>
      </c>
      <c r="J54" s="27">
        <f>VLOOKUP($H$10,'Listen und Kennwerte'!$B$4:$O$11,2,FALSE)</f>
        <v>24</v>
      </c>
      <c r="K54" s="28">
        <f>VLOOKUP($H$10,'Listen und Kennwerte'!$B$4:$O$11,8,FALSE)</f>
        <v>11500</v>
      </c>
      <c r="L54" s="28">
        <f>VLOOKUP($H$10,'Listen und Kennwerte'!$B$4:$O$11,9,FALSE)</f>
        <v>9600</v>
      </c>
      <c r="M54" s="18" t="s">
        <v>136</v>
      </c>
      <c r="N54" s="29">
        <v>3.6</v>
      </c>
      <c r="O54" s="29">
        <v>0.6</v>
      </c>
      <c r="P54" s="29">
        <v>0.6</v>
      </c>
      <c r="Q54" s="18">
        <v>2</v>
      </c>
      <c r="R54" s="18" t="s">
        <v>171</v>
      </c>
      <c r="S54" s="18">
        <v>0.6</v>
      </c>
      <c r="T54" s="18">
        <v>1.3</v>
      </c>
      <c r="U54" s="28">
        <v>3500</v>
      </c>
      <c r="V54" s="18">
        <v>5</v>
      </c>
      <c r="W54" s="18">
        <v>0</v>
      </c>
      <c r="X54" s="18">
        <v>0</v>
      </c>
      <c r="Z54" s="32"/>
      <c r="AA54" s="32"/>
    </row>
    <row r="55" spans="2:27" x14ac:dyDescent="0.6">
      <c r="B55" s="18" t="s">
        <v>95</v>
      </c>
      <c r="C55" s="18" t="s">
        <v>46</v>
      </c>
      <c r="D55" s="18" t="s">
        <v>47</v>
      </c>
      <c r="E55" s="18" t="s">
        <v>48</v>
      </c>
      <c r="F55" s="18" t="s">
        <v>49</v>
      </c>
      <c r="G55" s="18" t="s">
        <v>169</v>
      </c>
      <c r="H55" s="18" t="s">
        <v>177</v>
      </c>
      <c r="I55" s="27">
        <f>VLOOKUP($H$10,'Listen und Kennwerte'!$B$4:$O$11,5,FALSE)</f>
        <v>24</v>
      </c>
      <c r="J55" s="27">
        <f>VLOOKUP($H$10,'Listen und Kennwerte'!$B$4:$O$11,2,FALSE)</f>
        <v>24</v>
      </c>
      <c r="K55" s="28">
        <f>VLOOKUP($H$10,'Listen und Kennwerte'!$B$4:$O$11,8,FALSE)</f>
        <v>11500</v>
      </c>
      <c r="L55" s="28">
        <f>VLOOKUP($H$10,'Listen und Kennwerte'!$B$4:$O$11,9,FALSE)</f>
        <v>9600</v>
      </c>
      <c r="M55" s="18" t="s">
        <v>136</v>
      </c>
      <c r="N55" s="29">
        <v>3.6</v>
      </c>
      <c r="O55" s="29">
        <v>0.6</v>
      </c>
      <c r="P55" s="29">
        <v>0.6</v>
      </c>
      <c r="Q55" s="18">
        <v>2</v>
      </c>
      <c r="R55" s="18" t="s">
        <v>171</v>
      </c>
      <c r="S55" s="18">
        <v>0.6</v>
      </c>
      <c r="T55" s="18">
        <v>1.3</v>
      </c>
      <c r="U55" s="28">
        <v>3000</v>
      </c>
      <c r="V55" s="18">
        <v>5</v>
      </c>
      <c r="W55" s="18">
        <v>0</v>
      </c>
      <c r="X55" s="18">
        <v>0</v>
      </c>
      <c r="Z55" s="32"/>
      <c r="AA55" s="32"/>
    </row>
    <row r="56" spans="2:27" x14ac:dyDescent="0.6">
      <c r="B56" s="18" t="s">
        <v>96</v>
      </c>
      <c r="C56" s="18" t="s">
        <v>46</v>
      </c>
      <c r="D56" s="18" t="s">
        <v>47</v>
      </c>
      <c r="E56" s="18" t="s">
        <v>48</v>
      </c>
      <c r="F56" s="18" t="s">
        <v>49</v>
      </c>
      <c r="G56" s="18" t="s">
        <v>169</v>
      </c>
      <c r="H56" s="18" t="s">
        <v>177</v>
      </c>
      <c r="I56" s="27">
        <f>VLOOKUP($H$10,'Listen und Kennwerte'!$B$4:$O$11,5,FALSE)</f>
        <v>24</v>
      </c>
      <c r="J56" s="27">
        <f>VLOOKUP($H$10,'Listen und Kennwerte'!$B$4:$O$11,2,FALSE)</f>
        <v>24</v>
      </c>
      <c r="K56" s="28">
        <f>VLOOKUP($H$10,'Listen und Kennwerte'!$B$4:$O$11,8,FALSE)</f>
        <v>11500</v>
      </c>
      <c r="L56" s="28">
        <f>VLOOKUP($H$10,'Listen und Kennwerte'!$B$4:$O$11,9,FALSE)</f>
        <v>9600</v>
      </c>
      <c r="M56" s="18" t="s">
        <v>136</v>
      </c>
      <c r="N56" s="29">
        <v>3.6</v>
      </c>
      <c r="O56" s="29">
        <v>0.6</v>
      </c>
      <c r="P56" s="29">
        <v>0.6</v>
      </c>
      <c r="Q56" s="18">
        <v>2</v>
      </c>
      <c r="R56" s="18" t="s">
        <v>171</v>
      </c>
      <c r="S56" s="18">
        <v>0.6</v>
      </c>
      <c r="T56" s="18">
        <v>1.3</v>
      </c>
      <c r="U56" s="28">
        <v>3000</v>
      </c>
      <c r="V56" s="18">
        <v>5</v>
      </c>
      <c r="W56" s="18">
        <v>0</v>
      </c>
      <c r="X56" s="18">
        <v>0</v>
      </c>
      <c r="Z56" s="32"/>
      <c r="AA56" s="32"/>
    </row>
    <row r="57" spans="2:27" x14ac:dyDescent="0.6">
      <c r="B57" s="18" t="s">
        <v>97</v>
      </c>
      <c r="C57" s="18" t="s">
        <v>46</v>
      </c>
      <c r="D57" s="18" t="s">
        <v>47</v>
      </c>
      <c r="E57" s="18" t="s">
        <v>48</v>
      </c>
      <c r="F57" s="18" t="s">
        <v>49</v>
      </c>
      <c r="G57" s="18" t="s">
        <v>169</v>
      </c>
      <c r="H57" s="18" t="s">
        <v>177</v>
      </c>
      <c r="I57" s="27">
        <f>VLOOKUP($H$10,'Listen und Kennwerte'!$B$4:$O$11,5,FALSE)</f>
        <v>24</v>
      </c>
      <c r="J57" s="27">
        <f>VLOOKUP($H$10,'Listen und Kennwerte'!$B$4:$O$11,2,FALSE)</f>
        <v>24</v>
      </c>
      <c r="K57" s="28">
        <f>VLOOKUP($H$10,'Listen und Kennwerte'!$B$4:$O$11,8,FALSE)</f>
        <v>11500</v>
      </c>
      <c r="L57" s="28">
        <f>VLOOKUP($H$10,'Listen und Kennwerte'!$B$4:$O$11,9,FALSE)</f>
        <v>9600</v>
      </c>
      <c r="M57" s="18" t="s">
        <v>136</v>
      </c>
      <c r="N57" s="29">
        <v>3.6</v>
      </c>
      <c r="O57" s="29">
        <v>0.6</v>
      </c>
      <c r="P57" s="29">
        <v>0.6</v>
      </c>
      <c r="Q57" s="18">
        <v>2</v>
      </c>
      <c r="R57" s="18" t="s">
        <v>171</v>
      </c>
      <c r="S57" s="18">
        <v>0.6</v>
      </c>
      <c r="T57" s="18">
        <v>1.3</v>
      </c>
      <c r="U57" s="28">
        <v>4500</v>
      </c>
      <c r="V57" s="18">
        <v>5</v>
      </c>
      <c r="W57" s="18">
        <v>0</v>
      </c>
      <c r="X57" s="18">
        <v>0</v>
      </c>
      <c r="Z57" s="32"/>
      <c r="AA57" s="32"/>
    </row>
    <row r="58" spans="2:27" x14ac:dyDescent="0.6">
      <c r="B58" s="18" t="s">
        <v>98</v>
      </c>
      <c r="C58" s="18" t="s">
        <v>46</v>
      </c>
      <c r="D58" s="18" t="s">
        <v>47</v>
      </c>
      <c r="E58" s="18" t="s">
        <v>48</v>
      </c>
      <c r="F58" s="18" t="s">
        <v>49</v>
      </c>
      <c r="G58" s="18" t="s">
        <v>169</v>
      </c>
      <c r="H58" s="18" t="s">
        <v>177</v>
      </c>
      <c r="I58" s="27">
        <f>VLOOKUP($H$10,'Listen und Kennwerte'!$B$4:$O$11,5,FALSE)</f>
        <v>24</v>
      </c>
      <c r="J58" s="27">
        <f>VLOOKUP($H$10,'Listen und Kennwerte'!$B$4:$O$11,2,FALSE)</f>
        <v>24</v>
      </c>
      <c r="K58" s="28">
        <f>VLOOKUP($H$10,'Listen und Kennwerte'!$B$4:$O$11,8,FALSE)</f>
        <v>11500</v>
      </c>
      <c r="L58" s="28">
        <f>VLOOKUP($H$10,'Listen und Kennwerte'!$B$4:$O$11,9,FALSE)</f>
        <v>9600</v>
      </c>
      <c r="M58" s="18" t="s">
        <v>136</v>
      </c>
      <c r="N58" s="29">
        <v>3.6</v>
      </c>
      <c r="O58" s="29">
        <v>0.6</v>
      </c>
      <c r="P58" s="29">
        <v>0.6</v>
      </c>
      <c r="Q58" s="18">
        <v>2</v>
      </c>
      <c r="R58" s="18" t="s">
        <v>171</v>
      </c>
      <c r="S58" s="18">
        <v>0.6</v>
      </c>
      <c r="T58" s="18">
        <v>1.3</v>
      </c>
      <c r="U58" s="28">
        <v>3000</v>
      </c>
      <c r="V58" s="18">
        <v>5</v>
      </c>
      <c r="W58" s="18">
        <v>0</v>
      </c>
      <c r="X58" s="18">
        <v>0</v>
      </c>
      <c r="Z58" s="32"/>
      <c r="AA58" s="32"/>
    </row>
    <row r="59" spans="2:27" x14ac:dyDescent="0.6">
      <c r="B59" s="18" t="s">
        <v>99</v>
      </c>
      <c r="C59" s="18" t="s">
        <v>46</v>
      </c>
      <c r="D59" s="18" t="s">
        <v>55</v>
      </c>
      <c r="E59" s="18" t="s">
        <v>48</v>
      </c>
      <c r="F59" s="18" t="s">
        <v>49</v>
      </c>
      <c r="G59" s="18" t="s">
        <v>169</v>
      </c>
      <c r="H59" s="18" t="s">
        <v>177</v>
      </c>
      <c r="I59" s="27">
        <f>VLOOKUP($H$10,'Listen und Kennwerte'!$B$4:$O$11,5,FALSE)</f>
        <v>24</v>
      </c>
      <c r="J59" s="27">
        <f>VLOOKUP($H$10,'Listen und Kennwerte'!$B$4:$O$11,2,FALSE)</f>
        <v>24</v>
      </c>
      <c r="K59" s="28">
        <f>VLOOKUP($H$10,'Listen und Kennwerte'!$B$4:$O$11,8,FALSE)</f>
        <v>11500</v>
      </c>
      <c r="L59" s="28">
        <f>VLOOKUP($H$10,'Listen und Kennwerte'!$B$4:$O$11,9,FALSE)</f>
        <v>9600</v>
      </c>
      <c r="M59" s="18" t="s">
        <v>136</v>
      </c>
      <c r="N59" s="29">
        <v>3.6</v>
      </c>
      <c r="O59" s="29">
        <v>0.6</v>
      </c>
      <c r="P59" s="29">
        <v>0.6</v>
      </c>
      <c r="Q59" s="18">
        <v>2</v>
      </c>
      <c r="R59" s="18" t="s">
        <v>171</v>
      </c>
      <c r="S59" s="18">
        <v>0.6</v>
      </c>
      <c r="T59" s="18">
        <v>1.3</v>
      </c>
      <c r="U59" s="28">
        <v>4500</v>
      </c>
      <c r="V59" s="18">
        <v>5</v>
      </c>
      <c r="W59" s="18">
        <v>0</v>
      </c>
      <c r="X59" s="18">
        <v>0</v>
      </c>
      <c r="Z59" s="32"/>
      <c r="AA59" s="32"/>
    </row>
    <row r="60" spans="2:27" x14ac:dyDescent="0.6">
      <c r="B60" s="18" t="s">
        <v>100</v>
      </c>
      <c r="C60" s="18" t="s">
        <v>46</v>
      </c>
      <c r="D60" s="18" t="s">
        <v>55</v>
      </c>
      <c r="E60" s="18" t="s">
        <v>48</v>
      </c>
      <c r="F60" s="18" t="s">
        <v>49</v>
      </c>
      <c r="G60" s="18" t="s">
        <v>169</v>
      </c>
      <c r="H60" s="18" t="s">
        <v>177</v>
      </c>
      <c r="I60" s="27">
        <f>VLOOKUP($H$10,'Listen und Kennwerte'!$B$4:$O$11,5,FALSE)</f>
        <v>24</v>
      </c>
      <c r="J60" s="27">
        <f>VLOOKUP($H$10,'Listen und Kennwerte'!$B$4:$O$11,2,FALSE)</f>
        <v>24</v>
      </c>
      <c r="K60" s="28">
        <f>VLOOKUP($H$10,'Listen und Kennwerte'!$B$4:$O$11,8,FALSE)</f>
        <v>11500</v>
      </c>
      <c r="L60" s="28">
        <f>VLOOKUP($H$10,'Listen und Kennwerte'!$B$4:$O$11,9,FALSE)</f>
        <v>9600</v>
      </c>
      <c r="M60" s="18" t="s">
        <v>136</v>
      </c>
      <c r="N60" s="29">
        <v>3.6</v>
      </c>
      <c r="O60" s="29">
        <v>0.6</v>
      </c>
      <c r="P60" s="29">
        <v>0.6</v>
      </c>
      <c r="Q60" s="18">
        <v>2</v>
      </c>
      <c r="R60" s="18" t="s">
        <v>171</v>
      </c>
      <c r="S60" s="18">
        <v>0.6</v>
      </c>
      <c r="T60" s="18">
        <v>1.3</v>
      </c>
      <c r="U60" s="28">
        <v>4500</v>
      </c>
      <c r="V60" s="18">
        <v>5</v>
      </c>
      <c r="W60" s="18">
        <v>0</v>
      </c>
      <c r="X60" s="18">
        <v>0</v>
      </c>
      <c r="Z60" s="32"/>
      <c r="AA60" s="32"/>
    </row>
    <row r="61" spans="2:27" x14ac:dyDescent="0.6">
      <c r="B61" s="18" t="s">
        <v>101</v>
      </c>
      <c r="C61" s="18" t="s">
        <v>46</v>
      </c>
      <c r="D61" s="18" t="s">
        <v>55</v>
      </c>
      <c r="E61" s="18" t="s">
        <v>48</v>
      </c>
      <c r="F61" s="18" t="s">
        <v>49</v>
      </c>
      <c r="G61" s="18" t="s">
        <v>169</v>
      </c>
      <c r="H61" s="18" t="s">
        <v>177</v>
      </c>
      <c r="I61" s="27">
        <f>VLOOKUP($H$10,'Listen und Kennwerte'!$B$4:$O$11,5,FALSE)</f>
        <v>24</v>
      </c>
      <c r="J61" s="27">
        <f>VLOOKUP($H$10,'Listen und Kennwerte'!$B$4:$O$11,2,FALSE)</f>
        <v>24</v>
      </c>
      <c r="K61" s="28">
        <f>VLOOKUP($H$10,'Listen und Kennwerte'!$B$4:$O$11,8,FALSE)</f>
        <v>11500</v>
      </c>
      <c r="L61" s="28">
        <f>VLOOKUP($H$10,'Listen und Kennwerte'!$B$4:$O$11,9,FALSE)</f>
        <v>9600</v>
      </c>
      <c r="M61" s="18" t="s">
        <v>136</v>
      </c>
      <c r="N61" s="29">
        <v>3.6</v>
      </c>
      <c r="O61" s="29">
        <v>0.6</v>
      </c>
      <c r="P61" s="29">
        <v>0.6</v>
      </c>
      <c r="Q61" s="18">
        <v>2</v>
      </c>
      <c r="R61" s="18" t="s">
        <v>171</v>
      </c>
      <c r="S61" s="18">
        <v>0.6</v>
      </c>
      <c r="T61" s="18">
        <v>1.3</v>
      </c>
      <c r="U61" s="28">
        <v>4500</v>
      </c>
      <c r="V61" s="18">
        <v>5</v>
      </c>
      <c r="W61" s="18">
        <v>0</v>
      </c>
      <c r="X61" s="18">
        <v>0</v>
      </c>
      <c r="Z61" s="32"/>
      <c r="AA61" s="32"/>
    </row>
    <row r="62" spans="2:27" x14ac:dyDescent="0.6">
      <c r="B62" s="18" t="s">
        <v>102</v>
      </c>
      <c r="C62" s="18" t="s">
        <v>46</v>
      </c>
      <c r="D62" s="18" t="s">
        <v>55</v>
      </c>
      <c r="E62" s="18" t="s">
        <v>48</v>
      </c>
      <c r="F62" s="18" t="s">
        <v>49</v>
      </c>
      <c r="G62" s="18" t="s">
        <v>169</v>
      </c>
      <c r="H62" s="18" t="s">
        <v>177</v>
      </c>
      <c r="I62" s="27">
        <f>VLOOKUP($H$10,'Listen und Kennwerte'!$B$4:$O$11,5,FALSE)</f>
        <v>24</v>
      </c>
      <c r="J62" s="27">
        <f>VLOOKUP($H$10,'Listen und Kennwerte'!$B$4:$O$11,2,FALSE)</f>
        <v>24</v>
      </c>
      <c r="K62" s="28">
        <f>VLOOKUP($H$10,'Listen und Kennwerte'!$B$4:$O$11,8,FALSE)</f>
        <v>11500</v>
      </c>
      <c r="L62" s="28">
        <f>VLOOKUP($H$10,'Listen und Kennwerte'!$B$4:$O$11,9,FALSE)</f>
        <v>9600</v>
      </c>
      <c r="M62" s="18" t="s">
        <v>136</v>
      </c>
      <c r="N62" s="29">
        <v>3.6</v>
      </c>
      <c r="O62" s="29">
        <v>0.6</v>
      </c>
      <c r="P62" s="29">
        <v>0.6</v>
      </c>
      <c r="Q62" s="18">
        <v>2</v>
      </c>
      <c r="R62" s="18" t="s">
        <v>171</v>
      </c>
      <c r="S62" s="18">
        <v>0.6</v>
      </c>
      <c r="T62" s="18">
        <v>1.3</v>
      </c>
      <c r="U62" s="28">
        <v>4500</v>
      </c>
      <c r="V62" s="18">
        <v>5</v>
      </c>
      <c r="W62" s="18">
        <v>0</v>
      </c>
      <c r="X62" s="18">
        <v>0</v>
      </c>
      <c r="Z62" s="32"/>
      <c r="AA62" s="32"/>
    </row>
    <row r="63" spans="2:27" x14ac:dyDescent="0.6">
      <c r="B63" s="18" t="s">
        <v>103</v>
      </c>
      <c r="C63" s="18" t="s">
        <v>46</v>
      </c>
      <c r="D63" s="18" t="s">
        <v>55</v>
      </c>
      <c r="E63" s="18" t="s">
        <v>48</v>
      </c>
      <c r="F63" s="18" t="s">
        <v>49</v>
      </c>
      <c r="G63" s="18" t="s">
        <v>169</v>
      </c>
      <c r="H63" s="18" t="s">
        <v>177</v>
      </c>
      <c r="I63" s="27">
        <f>VLOOKUP($H$10,'Listen und Kennwerte'!$B$4:$O$11,5,FALSE)</f>
        <v>24</v>
      </c>
      <c r="J63" s="27">
        <f>VLOOKUP($H$10,'Listen und Kennwerte'!$B$4:$O$11,2,FALSE)</f>
        <v>24</v>
      </c>
      <c r="K63" s="28">
        <f>VLOOKUP($H$10,'Listen und Kennwerte'!$B$4:$O$11,8,FALSE)</f>
        <v>11500</v>
      </c>
      <c r="L63" s="28">
        <f>VLOOKUP($H$10,'Listen und Kennwerte'!$B$4:$O$11,9,FALSE)</f>
        <v>9600</v>
      </c>
      <c r="M63" s="18" t="s">
        <v>136</v>
      </c>
      <c r="N63" s="29">
        <v>3.6</v>
      </c>
      <c r="O63" s="29">
        <v>0.6</v>
      </c>
      <c r="P63" s="29">
        <v>0.6</v>
      </c>
      <c r="Q63" s="18">
        <v>2</v>
      </c>
      <c r="R63" s="18" t="s">
        <v>171</v>
      </c>
      <c r="S63" s="18">
        <v>0.6</v>
      </c>
      <c r="T63" s="18">
        <v>1.3</v>
      </c>
      <c r="U63" s="28">
        <v>4500</v>
      </c>
      <c r="V63" s="18">
        <v>5</v>
      </c>
      <c r="W63" s="18">
        <v>0</v>
      </c>
      <c r="X63" s="18">
        <v>0</v>
      </c>
      <c r="Z63" s="32"/>
      <c r="AA63" s="32"/>
    </row>
    <row r="64" spans="2:27" x14ac:dyDescent="0.6">
      <c r="B64" s="18" t="s">
        <v>104</v>
      </c>
      <c r="C64" s="18" t="s">
        <v>46</v>
      </c>
      <c r="D64" s="18" t="s">
        <v>55</v>
      </c>
      <c r="E64" s="18" t="s">
        <v>48</v>
      </c>
      <c r="F64" s="18" t="s">
        <v>49</v>
      </c>
      <c r="G64" s="18" t="s">
        <v>169</v>
      </c>
      <c r="H64" s="18" t="s">
        <v>177</v>
      </c>
      <c r="I64" s="27">
        <f>VLOOKUP($H$10,'Listen und Kennwerte'!$B$4:$O$11,5,FALSE)</f>
        <v>24</v>
      </c>
      <c r="J64" s="27">
        <f>VLOOKUP($H$10,'Listen und Kennwerte'!$B$4:$O$11,2,FALSE)</f>
        <v>24</v>
      </c>
      <c r="K64" s="28">
        <f>VLOOKUP($H$10,'Listen und Kennwerte'!$B$4:$O$11,8,FALSE)</f>
        <v>11500</v>
      </c>
      <c r="L64" s="28">
        <f>VLOOKUP($H$10,'Listen und Kennwerte'!$B$4:$O$11,9,FALSE)</f>
        <v>9600</v>
      </c>
      <c r="M64" s="18" t="s">
        <v>136</v>
      </c>
      <c r="N64" s="29">
        <v>3.6</v>
      </c>
      <c r="O64" s="29">
        <v>0.6</v>
      </c>
      <c r="P64" s="29">
        <v>0.6</v>
      </c>
      <c r="Q64" s="18">
        <v>2</v>
      </c>
      <c r="R64" s="18" t="s">
        <v>171</v>
      </c>
      <c r="S64" s="18">
        <v>0.6</v>
      </c>
      <c r="T64" s="18">
        <v>1.3</v>
      </c>
      <c r="U64" s="28">
        <v>4500</v>
      </c>
      <c r="V64" s="18">
        <v>5</v>
      </c>
      <c r="W64" s="18">
        <v>0</v>
      </c>
      <c r="X64" s="18">
        <v>0</v>
      </c>
      <c r="Z64" s="32"/>
      <c r="AA64" s="32"/>
    </row>
    <row r="65" spans="2:27" x14ac:dyDescent="0.6">
      <c r="B65" s="18" t="s">
        <v>105</v>
      </c>
      <c r="C65" s="18" t="s">
        <v>46</v>
      </c>
      <c r="D65" s="18" t="s">
        <v>55</v>
      </c>
      <c r="E65" s="18" t="s">
        <v>48</v>
      </c>
      <c r="F65" s="18" t="s">
        <v>49</v>
      </c>
      <c r="G65" s="18" t="s">
        <v>169</v>
      </c>
      <c r="H65" s="18" t="s">
        <v>177</v>
      </c>
      <c r="I65" s="27">
        <f>VLOOKUP($H$10,'Listen und Kennwerte'!$B$4:$O$11,5,FALSE)</f>
        <v>24</v>
      </c>
      <c r="J65" s="27">
        <f>VLOOKUP($H$10,'Listen und Kennwerte'!$B$4:$O$11,2,FALSE)</f>
        <v>24</v>
      </c>
      <c r="K65" s="28">
        <f>VLOOKUP($H$10,'Listen und Kennwerte'!$B$4:$O$11,8,FALSE)</f>
        <v>11500</v>
      </c>
      <c r="L65" s="28">
        <f>VLOOKUP($H$10,'Listen und Kennwerte'!$B$4:$O$11,9,FALSE)</f>
        <v>9600</v>
      </c>
      <c r="M65" s="18" t="s">
        <v>136</v>
      </c>
      <c r="N65" s="29">
        <v>3.6</v>
      </c>
      <c r="O65" s="29">
        <v>0.6</v>
      </c>
      <c r="P65" s="29">
        <v>0.6</v>
      </c>
      <c r="Q65" s="18">
        <v>2</v>
      </c>
      <c r="R65" s="18" t="s">
        <v>171</v>
      </c>
      <c r="S65" s="18">
        <v>0.6</v>
      </c>
      <c r="T65" s="18">
        <v>1.3</v>
      </c>
      <c r="U65" s="28">
        <v>3000</v>
      </c>
      <c r="V65" s="18">
        <v>5</v>
      </c>
      <c r="W65" s="18">
        <v>0</v>
      </c>
      <c r="X65" s="18">
        <v>0</v>
      </c>
      <c r="Z65" s="32"/>
      <c r="AA65" s="32"/>
    </row>
    <row r="66" spans="2:27" x14ac:dyDescent="0.6">
      <c r="B66" s="18" t="s">
        <v>106</v>
      </c>
      <c r="C66" s="18" t="s">
        <v>46</v>
      </c>
      <c r="D66" s="18" t="s">
        <v>55</v>
      </c>
      <c r="E66" s="18" t="s">
        <v>48</v>
      </c>
      <c r="F66" s="18" t="s">
        <v>49</v>
      </c>
      <c r="G66" s="18" t="s">
        <v>169</v>
      </c>
      <c r="H66" s="18" t="s">
        <v>177</v>
      </c>
      <c r="I66" s="27">
        <f>VLOOKUP($H$10,'Listen und Kennwerte'!$B$4:$O$11,5,FALSE)</f>
        <v>24</v>
      </c>
      <c r="J66" s="27">
        <f>VLOOKUP($H$10,'Listen und Kennwerte'!$B$4:$O$11,2,FALSE)</f>
        <v>24</v>
      </c>
      <c r="K66" s="28">
        <f>VLOOKUP($H$10,'Listen und Kennwerte'!$B$4:$O$11,8,FALSE)</f>
        <v>11500</v>
      </c>
      <c r="L66" s="28">
        <f>VLOOKUP($H$10,'Listen und Kennwerte'!$B$4:$O$11,9,FALSE)</f>
        <v>9600</v>
      </c>
      <c r="M66" s="18" t="s">
        <v>136</v>
      </c>
      <c r="N66" s="29">
        <v>3.6</v>
      </c>
      <c r="O66" s="29">
        <v>0.6</v>
      </c>
      <c r="P66" s="29">
        <v>0.6</v>
      </c>
      <c r="Q66" s="18">
        <v>2</v>
      </c>
      <c r="R66" s="18" t="s">
        <v>171</v>
      </c>
      <c r="S66" s="18">
        <v>0.6</v>
      </c>
      <c r="T66" s="18">
        <v>1.3</v>
      </c>
      <c r="U66" s="28">
        <v>3000</v>
      </c>
      <c r="V66" s="18">
        <v>5</v>
      </c>
      <c r="W66" s="18">
        <v>0</v>
      </c>
      <c r="X66" s="18">
        <v>0</v>
      </c>
      <c r="Z66" s="32"/>
      <c r="AA66" s="32"/>
    </row>
    <row r="67" spans="2:27" x14ac:dyDescent="0.6">
      <c r="B67" s="18" t="s">
        <v>107</v>
      </c>
      <c r="C67" s="18" t="s">
        <v>46</v>
      </c>
      <c r="D67" s="18" t="s">
        <v>55</v>
      </c>
      <c r="E67" s="18" t="s">
        <v>48</v>
      </c>
      <c r="F67" s="18" t="s">
        <v>49</v>
      </c>
      <c r="G67" s="18" t="s">
        <v>169</v>
      </c>
      <c r="H67" s="18" t="s">
        <v>177</v>
      </c>
      <c r="I67" s="27">
        <f>VLOOKUP($H$10,'Listen und Kennwerte'!$B$4:$O$11,5,FALSE)</f>
        <v>24</v>
      </c>
      <c r="J67" s="27">
        <f>VLOOKUP($H$10,'Listen und Kennwerte'!$B$4:$O$11,2,FALSE)</f>
        <v>24</v>
      </c>
      <c r="K67" s="28">
        <f>VLOOKUP($H$10,'Listen und Kennwerte'!$B$4:$O$11,8,FALSE)</f>
        <v>11500</v>
      </c>
      <c r="L67" s="28">
        <f>VLOOKUP($H$10,'Listen und Kennwerte'!$B$4:$O$11,9,FALSE)</f>
        <v>9600</v>
      </c>
      <c r="M67" s="18" t="s">
        <v>136</v>
      </c>
      <c r="N67" s="29">
        <v>3.6</v>
      </c>
      <c r="O67" s="29">
        <v>0.6</v>
      </c>
      <c r="P67" s="29">
        <v>0.6</v>
      </c>
      <c r="Q67" s="18">
        <v>2</v>
      </c>
      <c r="R67" s="18" t="s">
        <v>171</v>
      </c>
      <c r="S67" s="18">
        <v>0.6</v>
      </c>
      <c r="T67" s="18">
        <v>1.3</v>
      </c>
      <c r="U67" s="28">
        <v>4500</v>
      </c>
      <c r="V67" s="18">
        <v>5</v>
      </c>
      <c r="W67" s="18">
        <v>0</v>
      </c>
      <c r="X67" s="18">
        <v>0</v>
      </c>
      <c r="Z67" s="32"/>
      <c r="AA67" s="32"/>
    </row>
    <row r="68" spans="2:27" x14ac:dyDescent="0.6">
      <c r="B68" s="18" t="s">
        <v>108</v>
      </c>
      <c r="C68" s="18" t="s">
        <v>46</v>
      </c>
      <c r="D68" s="18" t="s">
        <v>55</v>
      </c>
      <c r="E68" s="18" t="s">
        <v>48</v>
      </c>
      <c r="F68" s="18" t="s">
        <v>49</v>
      </c>
      <c r="G68" s="18" t="s">
        <v>169</v>
      </c>
      <c r="H68" s="18" t="s">
        <v>177</v>
      </c>
      <c r="I68" s="27">
        <f>VLOOKUP($H$10,'Listen und Kennwerte'!$B$4:$O$11,5,FALSE)</f>
        <v>24</v>
      </c>
      <c r="J68" s="27">
        <f>VLOOKUP($H$10,'Listen und Kennwerte'!$B$4:$O$11,2,FALSE)</f>
        <v>24</v>
      </c>
      <c r="K68" s="28">
        <f>VLOOKUP($H$10,'Listen und Kennwerte'!$B$4:$O$11,8,FALSE)</f>
        <v>11500</v>
      </c>
      <c r="L68" s="28">
        <f>VLOOKUP($H$10,'Listen und Kennwerte'!$B$4:$O$11,9,FALSE)</f>
        <v>9600</v>
      </c>
      <c r="M68" s="18" t="s">
        <v>136</v>
      </c>
      <c r="N68" s="29">
        <v>3.6</v>
      </c>
      <c r="O68" s="29">
        <v>0.6</v>
      </c>
      <c r="P68" s="29">
        <v>0.6</v>
      </c>
      <c r="Q68" s="18">
        <v>2</v>
      </c>
      <c r="R68" s="18" t="s">
        <v>171</v>
      </c>
      <c r="S68" s="18">
        <v>0.6</v>
      </c>
      <c r="T68" s="18">
        <v>1.3</v>
      </c>
      <c r="U68" s="28">
        <v>4500</v>
      </c>
      <c r="V68" s="18">
        <v>5</v>
      </c>
      <c r="W68" s="18">
        <v>0</v>
      </c>
      <c r="X68" s="18">
        <v>0</v>
      </c>
      <c r="Z68" s="32"/>
      <c r="AA68" s="32"/>
    </row>
    <row r="69" spans="2:27" x14ac:dyDescent="0.6">
      <c r="B69" s="18" t="s">
        <v>109</v>
      </c>
      <c r="C69" s="18" t="s">
        <v>46</v>
      </c>
      <c r="D69" s="18" t="s">
        <v>55</v>
      </c>
      <c r="E69" s="18" t="s">
        <v>48</v>
      </c>
      <c r="F69" s="18" t="s">
        <v>49</v>
      </c>
      <c r="G69" s="18" t="s">
        <v>169</v>
      </c>
      <c r="H69" s="18" t="s">
        <v>177</v>
      </c>
      <c r="I69" s="27">
        <f>VLOOKUP($H$10,'Listen und Kennwerte'!$B$4:$O$11,5,FALSE)</f>
        <v>24</v>
      </c>
      <c r="J69" s="27">
        <f>VLOOKUP($H$10,'Listen und Kennwerte'!$B$4:$O$11,2,FALSE)</f>
        <v>24</v>
      </c>
      <c r="K69" s="28">
        <f>VLOOKUP($H$10,'Listen und Kennwerte'!$B$4:$O$11,8,FALSE)</f>
        <v>11500</v>
      </c>
      <c r="L69" s="28">
        <f>VLOOKUP($H$10,'Listen und Kennwerte'!$B$4:$O$11,9,FALSE)</f>
        <v>9600</v>
      </c>
      <c r="M69" s="18" t="s">
        <v>136</v>
      </c>
      <c r="N69" s="29">
        <v>3.6</v>
      </c>
      <c r="O69" s="29">
        <v>0.6</v>
      </c>
      <c r="P69" s="29">
        <v>0.6</v>
      </c>
      <c r="Q69" s="18">
        <v>2</v>
      </c>
      <c r="R69" s="18" t="s">
        <v>171</v>
      </c>
      <c r="S69" s="18">
        <v>0.6</v>
      </c>
      <c r="T69" s="18">
        <v>1.3</v>
      </c>
      <c r="U69" s="28">
        <v>5500</v>
      </c>
      <c r="V69" s="18">
        <v>5</v>
      </c>
      <c r="W69" s="18">
        <v>0</v>
      </c>
      <c r="X69" s="18">
        <v>0</v>
      </c>
      <c r="Z69" s="32"/>
      <c r="AA69" s="32"/>
    </row>
    <row r="70" spans="2:27" x14ac:dyDescent="0.6">
      <c r="B70" s="18" t="s">
        <v>110</v>
      </c>
      <c r="C70" s="18" t="s">
        <v>46</v>
      </c>
      <c r="D70" s="18" t="s">
        <v>55</v>
      </c>
      <c r="E70" s="18" t="s">
        <v>48</v>
      </c>
      <c r="F70" s="18" t="s">
        <v>49</v>
      </c>
      <c r="G70" s="18" t="s">
        <v>169</v>
      </c>
      <c r="H70" s="18" t="s">
        <v>177</v>
      </c>
      <c r="I70" s="27">
        <f>VLOOKUP($H$10,'Listen und Kennwerte'!$B$4:$O$11,5,FALSE)</f>
        <v>24</v>
      </c>
      <c r="J70" s="27">
        <f>VLOOKUP($H$10,'Listen und Kennwerte'!$B$4:$O$11,2,FALSE)</f>
        <v>24</v>
      </c>
      <c r="K70" s="28">
        <f>VLOOKUP($H$10,'Listen und Kennwerte'!$B$4:$O$11,8,FALSE)</f>
        <v>11500</v>
      </c>
      <c r="L70" s="28">
        <f>VLOOKUP($H$10,'Listen und Kennwerte'!$B$4:$O$11,9,FALSE)</f>
        <v>9600</v>
      </c>
      <c r="M70" s="18" t="s">
        <v>136</v>
      </c>
      <c r="N70" s="29">
        <v>3.6</v>
      </c>
      <c r="O70" s="29">
        <v>0.6</v>
      </c>
      <c r="P70" s="29">
        <v>0.6</v>
      </c>
      <c r="Q70" s="18">
        <v>2</v>
      </c>
      <c r="R70" s="18" t="s">
        <v>171</v>
      </c>
      <c r="S70" s="18">
        <v>0.6</v>
      </c>
      <c r="T70" s="18">
        <v>1.3</v>
      </c>
      <c r="U70" s="28">
        <v>4500</v>
      </c>
      <c r="V70" s="18">
        <v>5</v>
      </c>
      <c r="W70" s="18">
        <v>0</v>
      </c>
      <c r="X70" s="18">
        <v>0</v>
      </c>
      <c r="Z70" s="32"/>
      <c r="AA70" s="32"/>
    </row>
    <row r="71" spans="2:27" x14ac:dyDescent="0.6">
      <c r="B71" s="18" t="s">
        <v>111</v>
      </c>
      <c r="C71" s="18" t="s">
        <v>46</v>
      </c>
      <c r="D71" s="18" t="s">
        <v>55</v>
      </c>
      <c r="E71" s="18" t="s">
        <v>48</v>
      </c>
      <c r="F71" s="18" t="s">
        <v>49</v>
      </c>
      <c r="G71" s="18" t="s">
        <v>169</v>
      </c>
      <c r="H71" s="18" t="s">
        <v>177</v>
      </c>
      <c r="I71" s="27">
        <f>VLOOKUP($H$10,'Listen und Kennwerte'!$B$4:$O$11,5,FALSE)</f>
        <v>24</v>
      </c>
      <c r="J71" s="27">
        <f>VLOOKUP($H$10,'Listen und Kennwerte'!$B$4:$O$11,2,FALSE)</f>
        <v>24</v>
      </c>
      <c r="K71" s="28">
        <f>VLOOKUP($H$10,'Listen und Kennwerte'!$B$4:$O$11,8,FALSE)</f>
        <v>11500</v>
      </c>
      <c r="L71" s="28">
        <f>VLOOKUP($H$10,'Listen und Kennwerte'!$B$4:$O$11,9,FALSE)</f>
        <v>9600</v>
      </c>
      <c r="M71" s="18" t="s">
        <v>136</v>
      </c>
      <c r="N71" s="29">
        <v>3.6</v>
      </c>
      <c r="O71" s="29">
        <v>0.6</v>
      </c>
      <c r="P71" s="29">
        <v>0.6</v>
      </c>
      <c r="Q71" s="18">
        <v>2</v>
      </c>
      <c r="R71" s="18" t="s">
        <v>171</v>
      </c>
      <c r="S71" s="18">
        <v>0.6</v>
      </c>
      <c r="T71" s="18">
        <v>1.3</v>
      </c>
      <c r="U71" s="28">
        <v>3000</v>
      </c>
      <c r="V71" s="18">
        <v>5</v>
      </c>
      <c r="W71" s="18">
        <v>0</v>
      </c>
      <c r="X71" s="18">
        <v>0</v>
      </c>
      <c r="Z71" s="32"/>
      <c r="AA71" s="32"/>
    </row>
    <row r="72" spans="2:27" x14ac:dyDescent="0.6">
      <c r="B72" s="18" t="s">
        <v>112</v>
      </c>
      <c r="C72" s="18" t="s">
        <v>46</v>
      </c>
      <c r="D72" s="18" t="s">
        <v>55</v>
      </c>
      <c r="E72" s="18" t="s">
        <v>48</v>
      </c>
      <c r="F72" s="18" t="s">
        <v>49</v>
      </c>
      <c r="G72" s="18" t="s">
        <v>169</v>
      </c>
      <c r="H72" s="18" t="s">
        <v>177</v>
      </c>
      <c r="I72" s="27">
        <f>VLOOKUP($H$10,'Listen und Kennwerte'!$B$4:$O$11,5,FALSE)</f>
        <v>24</v>
      </c>
      <c r="J72" s="27">
        <f>VLOOKUP($H$10,'Listen und Kennwerte'!$B$4:$O$11,2,FALSE)</f>
        <v>24</v>
      </c>
      <c r="K72" s="28">
        <f>VLOOKUP($H$10,'Listen und Kennwerte'!$B$4:$O$11,8,FALSE)</f>
        <v>11500</v>
      </c>
      <c r="L72" s="28">
        <f>VLOOKUP($H$10,'Listen und Kennwerte'!$B$4:$O$11,9,FALSE)</f>
        <v>9600</v>
      </c>
      <c r="M72" s="18" t="s">
        <v>136</v>
      </c>
      <c r="N72" s="29">
        <v>3.6</v>
      </c>
      <c r="O72" s="29">
        <v>0.6</v>
      </c>
      <c r="P72" s="29">
        <v>0.6</v>
      </c>
      <c r="Q72" s="18">
        <v>2</v>
      </c>
      <c r="R72" s="18" t="s">
        <v>171</v>
      </c>
      <c r="S72" s="18">
        <v>0.6</v>
      </c>
      <c r="T72" s="18">
        <v>1.3</v>
      </c>
      <c r="U72" s="28">
        <v>4185</v>
      </c>
      <c r="V72" s="18">
        <v>5</v>
      </c>
      <c r="W72" s="18">
        <v>0</v>
      </c>
      <c r="X72" s="18">
        <v>0</v>
      </c>
      <c r="Z72" s="32"/>
      <c r="AA72" s="32"/>
    </row>
    <row r="73" spans="2:27" x14ac:dyDescent="0.6">
      <c r="B73" s="18"/>
      <c r="C73" s="18"/>
      <c r="D73" s="18"/>
      <c r="E73" s="18"/>
      <c r="F73" s="18"/>
      <c r="G73" s="18"/>
      <c r="H73" s="18"/>
      <c r="I73" s="27"/>
      <c r="J73" s="27"/>
      <c r="K73" s="28"/>
      <c r="L73" s="28"/>
      <c r="M73" s="18"/>
      <c r="N73" s="29"/>
      <c r="O73" s="29"/>
      <c r="P73" s="29"/>
      <c r="Q73" s="18"/>
      <c r="R73" s="18"/>
      <c r="S73" s="18"/>
      <c r="T73" s="18"/>
      <c r="U73" s="28"/>
      <c r="V73" s="18"/>
      <c r="W73" s="18"/>
      <c r="X73" s="18"/>
      <c r="Z73" s="32"/>
      <c r="AA73" s="32"/>
    </row>
    <row r="74" spans="2:27" x14ac:dyDescent="0.6">
      <c r="B74" s="18"/>
      <c r="C74" s="18"/>
      <c r="D74" s="18"/>
      <c r="E74" s="18"/>
      <c r="F74" s="18"/>
      <c r="G74" s="18"/>
      <c r="H74" s="18"/>
      <c r="I74" s="27"/>
      <c r="J74" s="27"/>
      <c r="K74" s="28"/>
      <c r="L74" s="28"/>
      <c r="M74" s="18"/>
      <c r="N74" s="29"/>
      <c r="O74" s="29"/>
      <c r="P74" s="29"/>
      <c r="Q74" s="18"/>
      <c r="R74" s="18"/>
      <c r="S74" s="18"/>
      <c r="T74" s="18"/>
      <c r="U74" s="28"/>
      <c r="V74" s="18"/>
      <c r="W74" s="18"/>
      <c r="X74" s="18"/>
      <c r="Z74" s="32"/>
      <c r="AA74" s="32"/>
    </row>
    <row r="75" spans="2:27" x14ac:dyDescent="0.6">
      <c r="B75" s="18"/>
      <c r="C75" s="18"/>
      <c r="D75" s="18"/>
      <c r="E75" s="18"/>
      <c r="F75" s="18"/>
      <c r="G75" s="18"/>
      <c r="H75" s="18"/>
      <c r="I75" s="27"/>
      <c r="J75" s="27"/>
      <c r="K75" s="28"/>
      <c r="L75" s="28"/>
      <c r="M75" s="18"/>
      <c r="N75" s="29"/>
      <c r="O75" s="29"/>
      <c r="P75" s="29"/>
      <c r="Q75" s="18"/>
      <c r="R75" s="18"/>
      <c r="S75" s="18"/>
      <c r="T75" s="18"/>
      <c r="U75" s="28"/>
      <c r="V75" s="18"/>
      <c r="W75" s="18"/>
      <c r="X75" s="18"/>
      <c r="Z75" s="32"/>
      <c r="AA75" s="32"/>
    </row>
    <row r="76" spans="2:27" x14ac:dyDescent="0.6">
      <c r="B76" s="18"/>
      <c r="C76" s="18"/>
      <c r="D76" s="18"/>
      <c r="E76" s="18"/>
      <c r="F76" s="18"/>
      <c r="G76" s="18"/>
      <c r="H76" s="18"/>
      <c r="I76" s="27"/>
      <c r="J76" s="27"/>
      <c r="K76" s="28"/>
      <c r="L76" s="28"/>
      <c r="M76" s="18"/>
      <c r="N76" s="29"/>
      <c r="O76" s="29"/>
      <c r="P76" s="29"/>
      <c r="Q76" s="18"/>
      <c r="R76" s="18"/>
      <c r="S76" s="18"/>
      <c r="T76" s="18"/>
      <c r="U76" s="28"/>
      <c r="V76" s="18"/>
      <c r="W76" s="18"/>
      <c r="X76" s="18"/>
      <c r="Z76" s="32"/>
      <c r="AA76" s="32"/>
    </row>
    <row r="77" spans="2:27" x14ac:dyDescent="0.6">
      <c r="B77" s="18"/>
      <c r="C77" s="18"/>
      <c r="D77" s="18"/>
      <c r="E77" s="18"/>
      <c r="F77" s="18"/>
      <c r="G77" s="18"/>
      <c r="H77" s="18"/>
      <c r="I77" s="27"/>
      <c r="J77" s="27"/>
      <c r="K77" s="28"/>
      <c r="L77" s="28"/>
      <c r="M77" s="18"/>
      <c r="N77" s="29"/>
      <c r="O77" s="29"/>
      <c r="P77" s="29"/>
      <c r="Q77" s="18"/>
      <c r="R77" s="18"/>
      <c r="S77" s="18"/>
      <c r="T77" s="18"/>
      <c r="U77" s="28"/>
      <c r="V77" s="18"/>
      <c r="W77" s="18"/>
      <c r="X77" s="18"/>
      <c r="Z77" s="32"/>
      <c r="AA77" s="32"/>
    </row>
    <row r="78" spans="2:27" x14ac:dyDescent="0.6">
      <c r="B78" s="18"/>
      <c r="C78" s="18"/>
      <c r="D78" s="18"/>
      <c r="E78" s="18"/>
      <c r="F78" s="18"/>
      <c r="G78" s="18"/>
      <c r="H78" s="18"/>
      <c r="I78" s="27"/>
      <c r="J78" s="27"/>
      <c r="K78" s="28"/>
      <c r="L78" s="28"/>
      <c r="M78" s="18"/>
      <c r="N78" s="29"/>
      <c r="O78" s="29"/>
      <c r="P78" s="29"/>
      <c r="Q78" s="18"/>
      <c r="R78" s="18"/>
      <c r="S78" s="18"/>
      <c r="T78" s="18"/>
      <c r="U78" s="28"/>
      <c r="V78" s="18"/>
      <c r="W78" s="18"/>
      <c r="X78" s="18"/>
      <c r="Z78" s="32"/>
      <c r="AA78" s="32"/>
    </row>
    <row r="79" spans="2:27" x14ac:dyDescent="0.6">
      <c r="B79" s="18"/>
      <c r="C79" s="18"/>
      <c r="D79" s="18"/>
      <c r="E79" s="18"/>
      <c r="F79" s="18"/>
      <c r="G79" s="18"/>
      <c r="H79" s="18"/>
      <c r="I79" s="27"/>
      <c r="J79" s="27"/>
      <c r="K79" s="28"/>
      <c r="L79" s="28"/>
      <c r="M79" s="18"/>
      <c r="N79" s="29"/>
      <c r="O79" s="29"/>
      <c r="P79" s="29"/>
      <c r="Q79" s="18"/>
      <c r="R79" s="18"/>
      <c r="S79" s="18"/>
      <c r="T79" s="18"/>
      <c r="U79" s="28"/>
      <c r="V79" s="18"/>
      <c r="W79" s="18"/>
      <c r="X79" s="18"/>
      <c r="Z79" s="32"/>
      <c r="AA79" s="32"/>
    </row>
    <row r="80" spans="2:27" x14ac:dyDescent="0.6">
      <c r="B80" s="18"/>
      <c r="C80" s="18"/>
      <c r="D80" s="18"/>
      <c r="E80" s="18"/>
      <c r="F80" s="18"/>
      <c r="G80" s="18"/>
      <c r="H80" s="18"/>
      <c r="I80" s="27"/>
      <c r="J80" s="27"/>
      <c r="K80" s="28"/>
      <c r="L80" s="28"/>
      <c r="M80" s="18"/>
      <c r="N80" s="29"/>
      <c r="O80" s="29"/>
      <c r="P80" s="29"/>
      <c r="Q80" s="18"/>
      <c r="R80" s="18"/>
      <c r="S80" s="18"/>
      <c r="T80" s="18"/>
      <c r="U80" s="28"/>
      <c r="V80" s="18"/>
      <c r="W80" s="18"/>
      <c r="X80" s="18"/>
      <c r="Z80" s="32"/>
      <c r="AA80" s="32"/>
    </row>
    <row r="81" spans="2:27" x14ac:dyDescent="0.6">
      <c r="B81" s="18"/>
      <c r="C81" s="18"/>
      <c r="D81" s="18"/>
      <c r="E81" s="18"/>
      <c r="F81" s="18"/>
      <c r="G81" s="18"/>
      <c r="H81" s="18"/>
      <c r="I81" s="27"/>
      <c r="J81" s="27"/>
      <c r="K81" s="28"/>
      <c r="L81" s="28"/>
      <c r="M81" s="18"/>
      <c r="N81" s="29"/>
      <c r="O81" s="29"/>
      <c r="P81" s="29"/>
      <c r="Q81" s="18"/>
      <c r="R81" s="18"/>
      <c r="S81" s="18"/>
      <c r="T81" s="18"/>
      <c r="U81" s="28"/>
      <c r="V81" s="18"/>
      <c r="W81" s="18"/>
      <c r="X81" s="18"/>
      <c r="Z81" s="32"/>
      <c r="AA81" s="32"/>
    </row>
    <row r="82" spans="2:27" x14ac:dyDescent="0.6">
      <c r="B82" s="18"/>
      <c r="C82" s="18"/>
      <c r="D82" s="18"/>
      <c r="E82" s="18"/>
      <c r="F82" s="18"/>
      <c r="G82" s="18"/>
      <c r="H82" s="18"/>
      <c r="I82" s="27"/>
      <c r="J82" s="27"/>
      <c r="K82" s="28"/>
      <c r="L82" s="28"/>
      <c r="M82" s="18"/>
      <c r="N82" s="29"/>
      <c r="O82" s="29"/>
      <c r="P82" s="29"/>
      <c r="Q82" s="18"/>
      <c r="R82" s="18"/>
      <c r="S82" s="18"/>
      <c r="T82" s="18"/>
      <c r="U82" s="28"/>
      <c r="V82" s="18"/>
      <c r="W82" s="18"/>
      <c r="X82" s="18"/>
      <c r="Z82" s="32"/>
      <c r="AA82" s="32"/>
    </row>
    <row r="83" spans="2:27" x14ac:dyDescent="0.6">
      <c r="B83" s="18"/>
      <c r="C83" s="18"/>
      <c r="D83" s="18"/>
      <c r="E83" s="18"/>
      <c r="F83" s="18"/>
      <c r="G83" s="18"/>
      <c r="H83" s="18"/>
      <c r="I83" s="27"/>
      <c r="J83" s="27"/>
      <c r="K83" s="28"/>
      <c r="L83" s="28"/>
      <c r="M83" s="18"/>
      <c r="N83" s="29"/>
      <c r="O83" s="29"/>
      <c r="P83" s="29"/>
      <c r="Q83" s="18"/>
      <c r="R83" s="18"/>
      <c r="S83" s="18"/>
      <c r="T83" s="18"/>
      <c r="U83" s="28"/>
      <c r="V83" s="18"/>
      <c r="W83" s="18"/>
      <c r="X83" s="18"/>
      <c r="Z83" s="32"/>
      <c r="AA83" s="32"/>
    </row>
    <row r="84" spans="2:27" x14ac:dyDescent="0.6">
      <c r="B84" s="18"/>
      <c r="C84" s="18"/>
      <c r="D84" s="18"/>
      <c r="E84" s="18"/>
      <c r="F84" s="18"/>
      <c r="G84" s="18"/>
      <c r="H84" s="18"/>
      <c r="I84" s="27"/>
      <c r="J84" s="27"/>
      <c r="K84" s="28"/>
      <c r="L84" s="28"/>
      <c r="M84" s="18"/>
      <c r="N84" s="29"/>
      <c r="O84" s="29"/>
      <c r="P84" s="29"/>
      <c r="Q84" s="18"/>
      <c r="R84" s="18"/>
      <c r="S84" s="18"/>
      <c r="T84" s="18"/>
      <c r="U84" s="28"/>
      <c r="V84" s="18"/>
      <c r="W84" s="18"/>
      <c r="X84" s="18"/>
      <c r="Z84" s="32"/>
      <c r="AA84" s="32"/>
    </row>
    <row r="85" spans="2:27" x14ac:dyDescent="0.6">
      <c r="B85" s="18"/>
      <c r="C85" s="18"/>
      <c r="D85" s="18"/>
      <c r="E85" s="18"/>
      <c r="F85" s="18"/>
      <c r="G85" s="18"/>
      <c r="H85" s="18"/>
      <c r="I85" s="27"/>
      <c r="J85" s="27"/>
      <c r="K85" s="28"/>
      <c r="L85" s="28"/>
      <c r="M85" s="18"/>
      <c r="N85" s="29"/>
      <c r="O85" s="29"/>
      <c r="P85" s="29"/>
      <c r="Q85" s="18"/>
      <c r="R85" s="18"/>
      <c r="S85" s="18"/>
      <c r="T85" s="18"/>
      <c r="U85" s="28"/>
      <c r="V85" s="18"/>
      <c r="W85" s="18"/>
      <c r="X85" s="18"/>
      <c r="Z85" s="32"/>
      <c r="AA85" s="32"/>
    </row>
    <row r="86" spans="2:27" x14ac:dyDescent="0.6">
      <c r="B86" s="18"/>
      <c r="C86" s="18"/>
      <c r="D86" s="18"/>
      <c r="E86" s="18"/>
      <c r="F86" s="18"/>
      <c r="G86" s="18"/>
      <c r="H86" s="18"/>
      <c r="I86" s="27"/>
      <c r="J86" s="27"/>
      <c r="K86" s="28"/>
      <c r="L86" s="28"/>
      <c r="M86" s="18"/>
      <c r="N86" s="29"/>
      <c r="O86" s="29"/>
      <c r="P86" s="29"/>
      <c r="Q86" s="18"/>
      <c r="R86" s="18"/>
      <c r="S86" s="18"/>
      <c r="T86" s="18"/>
      <c r="U86" s="28"/>
      <c r="V86" s="18"/>
      <c r="W86" s="18"/>
      <c r="X86" s="18"/>
      <c r="Z86" s="32"/>
      <c r="AA86" s="32"/>
    </row>
    <row r="87" spans="2:27" x14ac:dyDescent="0.6">
      <c r="B87" s="18"/>
      <c r="C87" s="18"/>
      <c r="D87" s="18"/>
      <c r="E87" s="18"/>
      <c r="F87" s="18"/>
      <c r="G87" s="18"/>
      <c r="H87" s="18"/>
      <c r="I87" s="27"/>
      <c r="J87" s="27"/>
      <c r="K87" s="28"/>
      <c r="L87" s="28"/>
      <c r="M87" s="18"/>
      <c r="N87" s="29"/>
      <c r="O87" s="29"/>
      <c r="P87" s="29"/>
      <c r="Q87" s="18"/>
      <c r="R87" s="18"/>
      <c r="S87" s="18"/>
      <c r="T87" s="18"/>
      <c r="U87" s="28"/>
      <c r="V87" s="18"/>
      <c r="W87" s="18"/>
      <c r="X87" s="18"/>
      <c r="Z87" s="32"/>
      <c r="AA87" s="32"/>
    </row>
    <row r="88" spans="2:27" x14ac:dyDescent="0.6">
      <c r="B88" s="18"/>
      <c r="C88" s="18"/>
      <c r="D88" s="18"/>
      <c r="E88" s="18"/>
      <c r="F88" s="18"/>
      <c r="G88" s="18"/>
      <c r="H88" s="18"/>
      <c r="I88" s="27"/>
      <c r="J88" s="27"/>
      <c r="K88" s="28"/>
      <c r="L88" s="28"/>
      <c r="M88" s="18"/>
      <c r="N88" s="29"/>
      <c r="O88" s="29"/>
      <c r="P88" s="29"/>
      <c r="Q88" s="18"/>
      <c r="R88" s="18"/>
      <c r="S88" s="18"/>
      <c r="T88" s="18"/>
      <c r="U88" s="28"/>
      <c r="V88" s="18"/>
      <c r="W88" s="18"/>
      <c r="X88" s="18"/>
      <c r="Z88" s="32"/>
      <c r="AA88" s="32"/>
    </row>
    <row r="89" spans="2:27" x14ac:dyDescent="0.6">
      <c r="B89" s="18"/>
      <c r="C89" s="18"/>
      <c r="D89" s="18"/>
      <c r="E89" s="18"/>
      <c r="F89" s="18"/>
      <c r="G89" s="18"/>
      <c r="H89" s="18"/>
      <c r="I89" s="27"/>
      <c r="J89" s="27"/>
      <c r="K89" s="28"/>
      <c r="L89" s="28"/>
      <c r="M89" s="18"/>
      <c r="N89" s="29"/>
      <c r="O89" s="29"/>
      <c r="P89" s="29"/>
      <c r="Q89" s="18"/>
      <c r="R89" s="18"/>
      <c r="S89" s="18"/>
      <c r="T89" s="18"/>
      <c r="U89" s="28"/>
      <c r="V89" s="18"/>
      <c r="W89" s="18"/>
      <c r="X89" s="18"/>
      <c r="Z89" s="32"/>
      <c r="AA89" s="32"/>
    </row>
    <row r="90" spans="2:27" x14ac:dyDescent="0.6">
      <c r="B90" s="18"/>
      <c r="C90" s="18"/>
      <c r="D90" s="18"/>
      <c r="E90" s="18"/>
      <c r="F90" s="18"/>
      <c r="G90" s="18"/>
      <c r="H90" s="18"/>
      <c r="I90" s="27"/>
      <c r="J90" s="27"/>
      <c r="K90" s="28"/>
      <c r="L90" s="28"/>
      <c r="M90" s="18"/>
      <c r="N90" s="29"/>
      <c r="O90" s="29"/>
      <c r="P90" s="29"/>
      <c r="Q90" s="18"/>
      <c r="R90" s="18"/>
      <c r="S90" s="18"/>
      <c r="T90" s="18"/>
      <c r="U90" s="28"/>
      <c r="V90" s="18"/>
      <c r="W90" s="18"/>
      <c r="X90" s="18"/>
      <c r="Z90" s="32"/>
      <c r="AA90" s="32"/>
    </row>
    <row r="91" spans="2:27" x14ac:dyDescent="0.6">
      <c r="B91" s="18"/>
      <c r="C91" s="18"/>
      <c r="D91" s="18"/>
      <c r="E91" s="18"/>
      <c r="F91" s="18"/>
      <c r="G91" s="18"/>
      <c r="H91" s="18"/>
      <c r="I91" s="27"/>
      <c r="J91" s="27"/>
      <c r="K91" s="28"/>
      <c r="L91" s="28"/>
      <c r="M91" s="18"/>
      <c r="N91" s="29"/>
      <c r="O91" s="29"/>
      <c r="P91" s="29"/>
      <c r="Q91" s="18"/>
      <c r="R91" s="18"/>
      <c r="S91" s="18"/>
      <c r="T91" s="18"/>
      <c r="U91" s="28"/>
      <c r="V91" s="18"/>
      <c r="W91" s="18"/>
      <c r="X91" s="18"/>
      <c r="Z91" s="32"/>
      <c r="AA91" s="32"/>
    </row>
    <row r="92" spans="2:27" x14ac:dyDescent="0.6">
      <c r="B92" s="18"/>
      <c r="C92" s="18"/>
      <c r="D92" s="18"/>
      <c r="E92" s="18"/>
      <c r="F92" s="18"/>
      <c r="G92" s="18"/>
      <c r="H92" s="18"/>
      <c r="I92" s="27"/>
      <c r="J92" s="27"/>
      <c r="K92" s="28"/>
      <c r="L92" s="28"/>
      <c r="M92" s="18"/>
      <c r="N92" s="29"/>
      <c r="O92" s="29"/>
      <c r="P92" s="29"/>
      <c r="Q92" s="18"/>
      <c r="R92" s="18"/>
      <c r="S92" s="18"/>
      <c r="T92" s="18"/>
      <c r="U92" s="28"/>
      <c r="V92" s="18"/>
      <c r="W92" s="18"/>
      <c r="X92" s="18"/>
      <c r="Z92" s="32"/>
      <c r="AA92" s="32"/>
    </row>
    <row r="93" spans="2:27" x14ac:dyDescent="0.6">
      <c r="B93" s="18"/>
      <c r="C93" s="18"/>
      <c r="D93" s="18"/>
      <c r="E93" s="18"/>
      <c r="F93" s="18"/>
      <c r="G93" s="18"/>
      <c r="H93" s="18"/>
      <c r="I93" s="27"/>
      <c r="J93" s="27"/>
      <c r="K93" s="28"/>
      <c r="L93" s="28"/>
      <c r="M93" s="18"/>
      <c r="N93" s="29"/>
      <c r="O93" s="29"/>
      <c r="P93" s="29"/>
      <c r="Q93" s="18"/>
      <c r="R93" s="18"/>
      <c r="S93" s="18"/>
      <c r="T93" s="18"/>
      <c r="U93" s="28"/>
      <c r="V93" s="18"/>
      <c r="W93" s="18"/>
      <c r="X93" s="18"/>
      <c r="Z93" s="32"/>
      <c r="AA93" s="32"/>
    </row>
    <row r="94" spans="2:27" x14ac:dyDescent="0.6">
      <c r="B94" s="18"/>
      <c r="C94" s="18"/>
      <c r="D94" s="18"/>
      <c r="E94" s="18"/>
      <c r="F94" s="18"/>
      <c r="G94" s="18"/>
      <c r="H94" s="18"/>
      <c r="I94" s="27"/>
      <c r="J94" s="27"/>
      <c r="K94" s="28"/>
      <c r="L94" s="28"/>
      <c r="M94" s="18"/>
      <c r="N94" s="29"/>
      <c r="O94" s="29"/>
      <c r="P94" s="29"/>
      <c r="Q94" s="18"/>
      <c r="R94" s="18"/>
      <c r="S94" s="18"/>
      <c r="T94" s="18"/>
      <c r="U94" s="28"/>
      <c r="V94" s="18"/>
      <c r="W94" s="18"/>
      <c r="X94" s="18"/>
      <c r="Z94" s="32"/>
      <c r="AA94" s="32"/>
    </row>
    <row r="95" spans="2:27" x14ac:dyDescent="0.6">
      <c r="B95" s="18"/>
      <c r="C95" s="18"/>
      <c r="D95" s="18"/>
      <c r="E95" s="18"/>
      <c r="F95" s="18"/>
      <c r="G95" s="18"/>
      <c r="H95" s="18"/>
      <c r="I95" s="27"/>
      <c r="J95" s="27"/>
      <c r="K95" s="28"/>
      <c r="L95" s="28"/>
      <c r="M95" s="18"/>
      <c r="N95" s="29"/>
      <c r="O95" s="29"/>
      <c r="P95" s="29"/>
      <c r="Q95" s="18"/>
      <c r="R95" s="18"/>
      <c r="S95" s="18"/>
      <c r="T95" s="18"/>
      <c r="U95" s="28"/>
      <c r="V95" s="18"/>
      <c r="W95" s="18"/>
      <c r="X95" s="18"/>
      <c r="Z95" s="32"/>
      <c r="AA95" s="32"/>
    </row>
    <row r="96" spans="2:27" x14ac:dyDescent="0.6">
      <c r="B96" s="18"/>
      <c r="C96" s="18"/>
      <c r="D96" s="18"/>
      <c r="E96" s="18"/>
      <c r="F96" s="18"/>
      <c r="G96" s="18"/>
      <c r="H96" s="18"/>
      <c r="I96" s="27"/>
      <c r="J96" s="27"/>
      <c r="K96" s="28"/>
      <c r="L96" s="28"/>
      <c r="M96" s="18"/>
      <c r="N96" s="29"/>
      <c r="O96" s="29"/>
      <c r="P96" s="29"/>
      <c r="Q96" s="18"/>
      <c r="R96" s="18"/>
      <c r="S96" s="18"/>
      <c r="T96" s="18"/>
      <c r="U96" s="28"/>
      <c r="V96" s="18"/>
      <c r="W96" s="18"/>
      <c r="X96" s="18"/>
      <c r="Z96" s="32"/>
      <c r="AA96" s="32"/>
    </row>
    <row r="97" spans="2:27" x14ac:dyDescent="0.6">
      <c r="B97" s="18"/>
      <c r="C97" s="18"/>
      <c r="D97" s="18"/>
      <c r="E97" s="18"/>
      <c r="F97" s="18"/>
      <c r="G97" s="18"/>
      <c r="H97" s="18"/>
      <c r="I97" s="27"/>
      <c r="J97" s="27"/>
      <c r="K97" s="28"/>
      <c r="L97" s="28"/>
      <c r="M97" s="18"/>
      <c r="N97" s="29"/>
      <c r="O97" s="29"/>
      <c r="P97" s="29"/>
      <c r="Q97" s="18"/>
      <c r="R97" s="18"/>
      <c r="S97" s="18"/>
      <c r="T97" s="18"/>
      <c r="U97" s="28"/>
      <c r="V97" s="18"/>
      <c r="W97" s="18"/>
      <c r="X97" s="18"/>
      <c r="Z97" s="32"/>
      <c r="AA97" s="32"/>
    </row>
    <row r="98" spans="2:27" x14ac:dyDescent="0.6">
      <c r="B98" s="18"/>
      <c r="C98" s="18"/>
      <c r="D98" s="18"/>
      <c r="E98" s="18"/>
      <c r="F98" s="18"/>
      <c r="G98" s="18"/>
      <c r="H98" s="18"/>
      <c r="I98" s="27"/>
      <c r="J98" s="27"/>
      <c r="K98" s="28"/>
      <c r="L98" s="28"/>
      <c r="M98" s="18"/>
      <c r="N98" s="29"/>
      <c r="O98" s="29"/>
      <c r="P98" s="29"/>
      <c r="Q98" s="18"/>
      <c r="R98" s="18"/>
      <c r="S98" s="18"/>
      <c r="T98" s="18"/>
      <c r="U98" s="28"/>
      <c r="V98" s="18"/>
      <c r="W98" s="18"/>
      <c r="X98" s="18"/>
      <c r="Z98" s="32"/>
      <c r="AA98" s="32"/>
    </row>
    <row r="99" spans="2:27" x14ac:dyDescent="0.6">
      <c r="B99" s="18"/>
      <c r="C99" s="18"/>
      <c r="D99" s="18"/>
      <c r="E99" s="18"/>
      <c r="F99" s="18"/>
      <c r="G99" s="18"/>
      <c r="H99" s="18"/>
      <c r="I99" s="27"/>
      <c r="J99" s="27"/>
      <c r="K99" s="28"/>
      <c r="L99" s="28"/>
      <c r="M99" s="18"/>
      <c r="N99" s="29"/>
      <c r="O99" s="29"/>
      <c r="P99" s="29"/>
      <c r="Q99" s="18"/>
      <c r="R99" s="18"/>
      <c r="S99" s="18"/>
      <c r="T99" s="18"/>
      <c r="U99" s="28"/>
      <c r="V99" s="18"/>
      <c r="W99" s="18"/>
      <c r="X99" s="18"/>
      <c r="Z99" s="32"/>
      <c r="AA99" s="32"/>
    </row>
    <row r="100" spans="2:27" x14ac:dyDescent="0.6">
      <c r="B100" s="18"/>
      <c r="C100" s="18"/>
      <c r="D100" s="18"/>
      <c r="E100" s="18"/>
      <c r="F100" s="18"/>
      <c r="G100" s="18"/>
      <c r="H100" s="18"/>
      <c r="I100" s="27"/>
      <c r="J100" s="27"/>
      <c r="K100" s="28"/>
      <c r="L100" s="28"/>
      <c r="M100" s="18"/>
      <c r="N100" s="29"/>
      <c r="O100" s="29"/>
      <c r="P100" s="29"/>
      <c r="Q100" s="18"/>
      <c r="R100" s="18"/>
      <c r="S100" s="18"/>
      <c r="T100" s="18"/>
      <c r="U100" s="28"/>
      <c r="V100" s="18"/>
      <c r="W100" s="18"/>
      <c r="X100" s="18"/>
      <c r="Z100" s="32"/>
      <c r="AA100" s="32"/>
    </row>
    <row r="101" spans="2:27" x14ac:dyDescent="0.6">
      <c r="B101" s="18"/>
      <c r="C101" s="18"/>
      <c r="D101" s="18"/>
      <c r="E101" s="18"/>
      <c r="F101" s="18"/>
      <c r="G101" s="18"/>
      <c r="H101" s="18"/>
      <c r="I101" s="27"/>
      <c r="J101" s="27"/>
      <c r="K101" s="28"/>
      <c r="L101" s="28"/>
      <c r="M101" s="18"/>
      <c r="N101" s="29"/>
      <c r="O101" s="29"/>
      <c r="P101" s="29"/>
      <c r="Q101" s="18"/>
      <c r="R101" s="18"/>
      <c r="S101" s="18"/>
      <c r="T101" s="18"/>
      <c r="U101" s="28"/>
      <c r="V101" s="18"/>
      <c r="W101" s="18"/>
      <c r="X101" s="18"/>
      <c r="Z101" s="32"/>
      <c r="AA101" s="32"/>
    </row>
    <row r="102" spans="2:27" x14ac:dyDescent="0.6">
      <c r="B102" s="18"/>
      <c r="C102" s="18"/>
      <c r="D102" s="18"/>
      <c r="E102" s="18"/>
      <c r="F102" s="18"/>
      <c r="G102" s="18"/>
      <c r="H102" s="18"/>
      <c r="I102" s="27"/>
      <c r="J102" s="27"/>
      <c r="K102" s="28"/>
      <c r="L102" s="28"/>
      <c r="M102" s="18"/>
      <c r="N102" s="29"/>
      <c r="O102" s="29"/>
      <c r="P102" s="29"/>
      <c r="Q102" s="18"/>
      <c r="R102" s="18"/>
      <c r="S102" s="18"/>
      <c r="T102" s="18"/>
      <c r="U102" s="28"/>
      <c r="V102" s="18"/>
      <c r="W102" s="18"/>
      <c r="X102" s="18"/>
      <c r="Z102" s="32"/>
      <c r="AA102" s="32"/>
    </row>
    <row r="103" spans="2:27" x14ac:dyDescent="0.6">
      <c r="B103" s="18"/>
      <c r="C103" s="18"/>
      <c r="D103" s="18"/>
      <c r="E103" s="18"/>
      <c r="F103" s="18"/>
      <c r="G103" s="18"/>
      <c r="H103" s="18"/>
      <c r="I103" s="27"/>
      <c r="J103" s="27"/>
      <c r="K103" s="28"/>
      <c r="L103" s="28"/>
      <c r="M103" s="18"/>
      <c r="N103" s="29"/>
      <c r="O103" s="29"/>
      <c r="P103" s="29"/>
      <c r="Q103" s="18"/>
      <c r="R103" s="18"/>
      <c r="S103" s="18"/>
      <c r="T103" s="18"/>
      <c r="U103" s="28"/>
      <c r="V103" s="18"/>
      <c r="W103" s="18"/>
      <c r="X103" s="18"/>
      <c r="Z103" s="32"/>
      <c r="AA103" s="32"/>
    </row>
    <row r="104" spans="2:27" x14ac:dyDescent="0.6">
      <c r="B104" s="18"/>
      <c r="C104" s="18"/>
      <c r="D104" s="18"/>
      <c r="E104" s="18"/>
      <c r="F104" s="18"/>
      <c r="G104" s="18"/>
      <c r="H104" s="18"/>
      <c r="I104" s="27"/>
      <c r="J104" s="27"/>
      <c r="K104" s="28"/>
      <c r="L104" s="28"/>
      <c r="M104" s="18"/>
      <c r="N104" s="29"/>
      <c r="O104" s="29"/>
      <c r="P104" s="29"/>
      <c r="Q104" s="18"/>
      <c r="R104" s="18"/>
      <c r="S104" s="18"/>
      <c r="T104" s="18"/>
      <c r="U104" s="28"/>
      <c r="V104" s="18"/>
      <c r="W104" s="18"/>
      <c r="X104" s="18"/>
      <c r="Z104" s="32"/>
      <c r="AA104" s="32"/>
    </row>
    <row r="105" spans="2:27" x14ac:dyDescent="0.6">
      <c r="B105" s="18"/>
      <c r="C105" s="18"/>
      <c r="D105" s="18"/>
      <c r="E105" s="18"/>
      <c r="F105" s="18"/>
      <c r="G105" s="18"/>
      <c r="H105" s="18"/>
      <c r="I105" s="27"/>
      <c r="J105" s="27"/>
      <c r="K105" s="28"/>
      <c r="L105" s="28"/>
      <c r="M105" s="18"/>
      <c r="N105" s="29"/>
      <c r="O105" s="29"/>
      <c r="P105" s="29"/>
      <c r="Q105" s="18"/>
      <c r="R105" s="18"/>
      <c r="S105" s="18"/>
      <c r="T105" s="18"/>
      <c r="U105" s="28"/>
      <c r="V105" s="18"/>
      <c r="W105" s="18"/>
      <c r="X105" s="18"/>
      <c r="Z105" s="32"/>
      <c r="AA105" s="32"/>
    </row>
    <row r="106" spans="2:27" x14ac:dyDescent="0.6">
      <c r="B106" s="18"/>
      <c r="C106" s="18"/>
      <c r="D106" s="18"/>
      <c r="E106" s="18"/>
      <c r="F106" s="18"/>
      <c r="G106" s="18"/>
      <c r="H106" s="18"/>
      <c r="I106" s="27"/>
      <c r="J106" s="27"/>
      <c r="K106" s="28"/>
      <c r="L106" s="28"/>
      <c r="M106" s="18"/>
      <c r="N106" s="29"/>
      <c r="O106" s="29"/>
      <c r="P106" s="29"/>
      <c r="Q106" s="18"/>
      <c r="R106" s="18"/>
      <c r="S106" s="18"/>
      <c r="T106" s="18"/>
      <c r="U106" s="28"/>
      <c r="V106" s="18"/>
      <c r="W106" s="18"/>
      <c r="X106" s="18"/>
      <c r="Z106" s="32"/>
      <c r="AA106" s="32"/>
    </row>
    <row r="107" spans="2:27" x14ac:dyDescent="0.6">
      <c r="B107" s="18"/>
      <c r="C107" s="18"/>
      <c r="D107" s="18"/>
      <c r="E107" s="18"/>
      <c r="F107" s="18"/>
      <c r="G107" s="18"/>
      <c r="H107" s="18"/>
      <c r="I107" s="27"/>
      <c r="J107" s="27"/>
      <c r="K107" s="28"/>
      <c r="L107" s="28"/>
      <c r="M107" s="18"/>
      <c r="N107" s="29"/>
      <c r="O107" s="29"/>
      <c r="P107" s="29"/>
      <c r="Q107" s="18"/>
      <c r="R107" s="18"/>
      <c r="S107" s="18"/>
      <c r="T107" s="18"/>
      <c r="U107" s="28"/>
      <c r="V107" s="18"/>
      <c r="W107" s="18"/>
      <c r="X107" s="18"/>
      <c r="Z107" s="32"/>
      <c r="AA107" s="32"/>
    </row>
    <row r="108" spans="2:27" x14ac:dyDescent="0.6">
      <c r="B108" s="18"/>
      <c r="C108" s="18"/>
      <c r="D108" s="18"/>
      <c r="E108" s="18"/>
      <c r="F108" s="18"/>
      <c r="G108" s="18"/>
      <c r="H108" s="18"/>
      <c r="I108" s="27"/>
      <c r="J108" s="27"/>
      <c r="K108" s="28"/>
      <c r="L108" s="28"/>
      <c r="M108" s="18"/>
      <c r="N108" s="29"/>
      <c r="O108" s="29"/>
      <c r="P108" s="29"/>
      <c r="Q108" s="18"/>
      <c r="R108" s="18"/>
      <c r="S108" s="18"/>
      <c r="T108" s="18"/>
      <c r="U108" s="28"/>
      <c r="V108" s="18"/>
      <c r="W108" s="18"/>
      <c r="X108" s="18"/>
      <c r="Z108" s="32"/>
      <c r="AA108" s="32"/>
    </row>
    <row r="109" spans="2:27" x14ac:dyDescent="0.6">
      <c r="B109" s="18"/>
      <c r="C109" s="18"/>
      <c r="D109" s="18"/>
      <c r="E109" s="18"/>
      <c r="F109" s="18"/>
      <c r="G109" s="18"/>
      <c r="H109" s="18"/>
      <c r="I109" s="27"/>
      <c r="J109" s="27"/>
      <c r="K109" s="28"/>
      <c r="L109" s="28"/>
      <c r="M109" s="18"/>
      <c r="N109" s="29"/>
      <c r="O109" s="29"/>
      <c r="P109" s="29"/>
      <c r="Q109" s="18"/>
      <c r="R109" s="18"/>
      <c r="S109" s="18"/>
      <c r="T109" s="18"/>
      <c r="U109" s="28"/>
      <c r="V109" s="18"/>
      <c r="W109" s="18"/>
      <c r="X109" s="18"/>
      <c r="Z109" s="32"/>
      <c r="AA109" s="32"/>
    </row>
    <row r="110" spans="2:27" x14ac:dyDescent="0.6">
      <c r="B110" s="18"/>
      <c r="C110" s="18"/>
      <c r="D110" s="18"/>
      <c r="E110" s="18"/>
      <c r="F110" s="18"/>
      <c r="G110" s="18"/>
      <c r="H110" s="18"/>
      <c r="I110" s="27"/>
      <c r="J110" s="27"/>
      <c r="K110" s="28"/>
      <c r="L110" s="28"/>
      <c r="M110" s="18"/>
      <c r="N110" s="29"/>
      <c r="O110" s="29"/>
      <c r="P110" s="29"/>
      <c r="Q110" s="18"/>
      <c r="R110" s="18"/>
      <c r="S110" s="18"/>
      <c r="T110" s="18"/>
      <c r="U110" s="28"/>
      <c r="V110" s="18"/>
      <c r="W110" s="18"/>
      <c r="X110" s="18"/>
      <c r="Z110" s="32"/>
      <c r="AA110" s="32"/>
    </row>
    <row r="111" spans="2:27" x14ac:dyDescent="0.6">
      <c r="B111" s="18"/>
      <c r="C111" s="18"/>
      <c r="D111" s="18"/>
      <c r="E111" s="18"/>
      <c r="F111" s="18"/>
      <c r="G111" s="18"/>
      <c r="H111" s="18"/>
      <c r="I111" s="27"/>
      <c r="J111" s="27"/>
      <c r="K111" s="28"/>
      <c r="L111" s="28"/>
      <c r="M111" s="18"/>
      <c r="N111" s="29"/>
      <c r="O111" s="29"/>
      <c r="P111" s="29"/>
      <c r="Q111" s="18"/>
      <c r="R111" s="18"/>
      <c r="S111" s="18"/>
      <c r="T111" s="18"/>
      <c r="U111" s="28"/>
      <c r="V111" s="18"/>
      <c r="W111" s="18"/>
      <c r="X111" s="18"/>
      <c r="Z111" s="32"/>
      <c r="AA111" s="32"/>
    </row>
    <row r="112" spans="2:27" x14ac:dyDescent="0.6">
      <c r="B112" s="18"/>
      <c r="C112" s="18"/>
      <c r="D112" s="18"/>
      <c r="E112" s="18"/>
      <c r="F112" s="18"/>
      <c r="G112" s="18"/>
      <c r="H112" s="18"/>
      <c r="I112" s="27"/>
      <c r="J112" s="27"/>
      <c r="K112" s="28"/>
      <c r="L112" s="28"/>
      <c r="M112" s="18"/>
      <c r="N112" s="29"/>
      <c r="O112" s="29"/>
      <c r="P112" s="29"/>
      <c r="Q112" s="18"/>
      <c r="R112" s="18"/>
      <c r="S112" s="18"/>
      <c r="T112" s="18"/>
      <c r="U112" s="28"/>
      <c r="V112" s="18"/>
      <c r="W112" s="18"/>
      <c r="X112" s="18"/>
      <c r="Z112" s="32"/>
      <c r="AA112" s="32"/>
    </row>
    <row r="113" spans="2:27" x14ac:dyDescent="0.6">
      <c r="B113" s="18"/>
      <c r="C113" s="18"/>
      <c r="D113" s="18"/>
      <c r="E113" s="18"/>
      <c r="F113" s="18"/>
      <c r="G113" s="18"/>
      <c r="H113" s="18"/>
      <c r="I113" s="27"/>
      <c r="J113" s="27"/>
      <c r="K113" s="28"/>
      <c r="L113" s="28"/>
      <c r="M113" s="18"/>
      <c r="N113" s="29"/>
      <c r="O113" s="29"/>
      <c r="P113" s="29"/>
      <c r="Q113" s="18"/>
      <c r="R113" s="18"/>
      <c r="S113" s="18"/>
      <c r="T113" s="18"/>
      <c r="U113" s="28"/>
      <c r="V113" s="18"/>
      <c r="W113" s="18"/>
      <c r="X113" s="18"/>
      <c r="Z113" s="32"/>
      <c r="AA113" s="32"/>
    </row>
    <row r="114" spans="2:27" x14ac:dyDescent="0.6">
      <c r="B114" s="18"/>
      <c r="C114" s="18"/>
      <c r="D114" s="18"/>
      <c r="E114" s="18"/>
      <c r="F114" s="18"/>
      <c r="G114" s="18"/>
      <c r="H114" s="18"/>
      <c r="I114" s="27"/>
      <c r="J114" s="27"/>
      <c r="K114" s="28"/>
      <c r="L114" s="28"/>
      <c r="M114" s="18"/>
      <c r="N114" s="29"/>
      <c r="O114" s="29"/>
      <c r="P114" s="29"/>
      <c r="Q114" s="18"/>
      <c r="R114" s="18"/>
      <c r="S114" s="18"/>
      <c r="T114" s="18"/>
      <c r="U114" s="28"/>
      <c r="V114" s="18"/>
      <c r="W114" s="18"/>
      <c r="X114" s="18"/>
      <c r="Z114" s="32"/>
      <c r="AA114" s="32"/>
    </row>
    <row r="115" spans="2:27" x14ac:dyDescent="0.6">
      <c r="B115" s="18"/>
      <c r="C115" s="18"/>
      <c r="D115" s="18"/>
      <c r="E115" s="18"/>
      <c r="F115" s="18"/>
      <c r="G115" s="18"/>
      <c r="H115" s="18"/>
      <c r="I115" s="27"/>
      <c r="J115" s="27"/>
      <c r="K115" s="28"/>
      <c r="L115" s="28"/>
      <c r="M115" s="18"/>
      <c r="N115" s="29"/>
      <c r="O115" s="29"/>
      <c r="P115" s="29"/>
      <c r="Q115" s="18"/>
      <c r="R115" s="18"/>
      <c r="S115" s="18"/>
      <c r="T115" s="18"/>
      <c r="U115" s="28"/>
      <c r="V115" s="18"/>
      <c r="W115" s="18"/>
      <c r="X115" s="18"/>
      <c r="Z115" s="32"/>
      <c r="AA115" s="32"/>
    </row>
    <row r="116" spans="2:27" x14ac:dyDescent="0.6">
      <c r="B116" s="18"/>
      <c r="C116" s="18"/>
      <c r="D116" s="18"/>
      <c r="E116" s="18"/>
      <c r="F116" s="18"/>
      <c r="G116" s="18"/>
      <c r="H116" s="18"/>
      <c r="I116" s="27"/>
      <c r="J116" s="27"/>
      <c r="K116" s="28"/>
      <c r="L116" s="28"/>
      <c r="M116" s="18"/>
      <c r="N116" s="29"/>
      <c r="O116" s="29"/>
      <c r="P116" s="29"/>
      <c r="Q116" s="18"/>
      <c r="R116" s="18"/>
      <c r="S116" s="18"/>
      <c r="T116" s="18"/>
      <c r="U116" s="28"/>
      <c r="V116" s="18"/>
      <c r="W116" s="18"/>
      <c r="X116" s="18"/>
      <c r="Z116" s="32"/>
      <c r="AA116" s="32"/>
    </row>
    <row r="117" spans="2:27" x14ac:dyDescent="0.6">
      <c r="B117" s="18"/>
      <c r="C117" s="18"/>
      <c r="D117" s="18"/>
      <c r="E117" s="18"/>
      <c r="F117" s="18"/>
      <c r="G117" s="18"/>
      <c r="H117" s="18"/>
      <c r="I117" s="27"/>
      <c r="J117" s="27"/>
      <c r="K117" s="28"/>
      <c r="L117" s="28"/>
      <c r="M117" s="18"/>
      <c r="N117" s="29"/>
      <c r="O117" s="29"/>
      <c r="P117" s="29"/>
      <c r="Q117" s="18"/>
      <c r="R117" s="18"/>
      <c r="S117" s="18"/>
      <c r="T117" s="18"/>
      <c r="U117" s="28"/>
      <c r="V117" s="18"/>
      <c r="W117" s="18"/>
      <c r="X117" s="18"/>
      <c r="Z117" s="32"/>
      <c r="AA117" s="32"/>
    </row>
    <row r="118" spans="2:27" x14ac:dyDescent="0.6">
      <c r="B118" s="18"/>
      <c r="C118" s="18"/>
      <c r="D118" s="18"/>
      <c r="E118" s="18"/>
      <c r="F118" s="18"/>
      <c r="G118" s="18"/>
      <c r="H118" s="18"/>
      <c r="I118" s="27"/>
      <c r="J118" s="27"/>
      <c r="K118" s="28"/>
      <c r="L118" s="28"/>
      <c r="M118" s="18"/>
      <c r="N118" s="29"/>
      <c r="O118" s="29"/>
      <c r="P118" s="29"/>
      <c r="Q118" s="18"/>
      <c r="R118" s="18"/>
      <c r="S118" s="18"/>
      <c r="T118" s="18"/>
      <c r="U118" s="28"/>
      <c r="V118" s="18"/>
      <c r="W118" s="18"/>
      <c r="X118" s="18"/>
      <c r="Z118" s="32"/>
      <c r="AA118" s="32"/>
    </row>
    <row r="119" spans="2:27" x14ac:dyDescent="0.6">
      <c r="B119" s="18"/>
      <c r="C119" s="18"/>
      <c r="D119" s="18"/>
      <c r="E119" s="18"/>
      <c r="F119" s="18"/>
      <c r="G119" s="18"/>
      <c r="H119" s="18"/>
      <c r="I119" s="27"/>
      <c r="J119" s="27"/>
      <c r="K119" s="28"/>
      <c r="L119" s="28"/>
      <c r="M119" s="18"/>
      <c r="N119" s="29"/>
      <c r="O119" s="29"/>
      <c r="P119" s="29"/>
      <c r="Q119" s="18"/>
      <c r="R119" s="18"/>
      <c r="S119" s="18"/>
      <c r="T119" s="18"/>
      <c r="U119" s="28"/>
      <c r="V119" s="18"/>
      <c r="W119" s="18"/>
      <c r="X119" s="18"/>
      <c r="Z119" s="32"/>
      <c r="AA119" s="32"/>
    </row>
    <row r="120" spans="2:27" x14ac:dyDescent="0.6">
      <c r="B120" s="18"/>
      <c r="C120" s="18"/>
      <c r="D120" s="18"/>
      <c r="E120" s="18"/>
      <c r="F120" s="18"/>
      <c r="G120" s="18"/>
      <c r="H120" s="18"/>
      <c r="I120" s="27"/>
      <c r="J120" s="27"/>
      <c r="K120" s="28"/>
      <c r="L120" s="28"/>
      <c r="M120" s="18"/>
      <c r="N120" s="29"/>
      <c r="O120" s="29"/>
      <c r="P120" s="29"/>
      <c r="Q120" s="18"/>
      <c r="R120" s="18"/>
      <c r="S120" s="18"/>
      <c r="T120" s="18"/>
      <c r="U120" s="28"/>
      <c r="V120" s="18"/>
      <c r="W120" s="18"/>
      <c r="X120" s="18"/>
      <c r="Z120" s="32"/>
      <c r="AA120" s="32"/>
    </row>
    <row r="121" spans="2:27" x14ac:dyDescent="0.6">
      <c r="B121" s="18"/>
      <c r="C121" s="18"/>
      <c r="D121" s="18"/>
      <c r="E121" s="18"/>
      <c r="F121" s="18"/>
      <c r="G121" s="18"/>
      <c r="H121" s="18"/>
      <c r="I121" s="27"/>
      <c r="J121" s="27"/>
      <c r="K121" s="28"/>
      <c r="L121" s="28"/>
      <c r="M121" s="18"/>
      <c r="N121" s="29"/>
      <c r="O121" s="29"/>
      <c r="P121" s="29"/>
      <c r="Q121" s="18"/>
      <c r="R121" s="18"/>
      <c r="S121" s="18"/>
      <c r="T121" s="18"/>
      <c r="U121" s="28"/>
      <c r="V121" s="18"/>
      <c r="W121" s="18"/>
      <c r="X121" s="18"/>
      <c r="Z121" s="32"/>
      <c r="AA121" s="32"/>
    </row>
    <row r="122" spans="2:27" x14ac:dyDescent="0.6">
      <c r="B122" s="18"/>
      <c r="C122" s="18"/>
      <c r="D122" s="18"/>
      <c r="E122" s="18"/>
      <c r="F122" s="18"/>
      <c r="G122" s="18"/>
      <c r="H122" s="18"/>
      <c r="I122" s="27"/>
      <c r="J122" s="27"/>
      <c r="K122" s="28"/>
      <c r="L122" s="28"/>
      <c r="M122" s="18"/>
      <c r="N122" s="29"/>
      <c r="O122" s="29"/>
      <c r="P122" s="29"/>
      <c r="Q122" s="18"/>
      <c r="R122" s="18"/>
      <c r="S122" s="18"/>
      <c r="T122" s="18"/>
      <c r="U122" s="28"/>
      <c r="V122" s="18"/>
      <c r="W122" s="18"/>
      <c r="X122" s="18"/>
      <c r="Z122" s="32"/>
      <c r="AA122" s="32"/>
    </row>
    <row r="123" spans="2:27" x14ac:dyDescent="0.6">
      <c r="B123" s="18"/>
      <c r="C123" s="18"/>
      <c r="D123" s="18"/>
      <c r="E123" s="18"/>
      <c r="F123" s="18"/>
      <c r="G123" s="18"/>
      <c r="H123" s="18"/>
      <c r="I123" s="27"/>
      <c r="J123" s="27"/>
      <c r="K123" s="28"/>
      <c r="L123" s="28"/>
      <c r="M123" s="18"/>
      <c r="N123" s="29"/>
      <c r="O123" s="29"/>
      <c r="P123" s="29"/>
      <c r="Q123" s="18"/>
      <c r="R123" s="18"/>
      <c r="S123" s="18"/>
      <c r="T123" s="18"/>
      <c r="U123" s="28"/>
      <c r="V123" s="18"/>
      <c r="W123" s="18"/>
      <c r="X123" s="18"/>
      <c r="Z123" s="32"/>
      <c r="AA123" s="32"/>
    </row>
    <row r="124" spans="2:27" x14ac:dyDescent="0.6">
      <c r="B124" s="18"/>
      <c r="C124" s="18"/>
      <c r="D124" s="18"/>
      <c r="E124" s="18"/>
      <c r="F124" s="18"/>
      <c r="G124" s="18"/>
      <c r="H124" s="18"/>
      <c r="I124" s="27"/>
      <c r="J124" s="27"/>
      <c r="K124" s="28"/>
      <c r="L124" s="28"/>
      <c r="M124" s="18"/>
      <c r="N124" s="29"/>
      <c r="O124" s="29"/>
      <c r="P124" s="29"/>
      <c r="Q124" s="18"/>
      <c r="R124" s="18"/>
      <c r="S124" s="18"/>
      <c r="T124" s="18"/>
      <c r="U124" s="28"/>
      <c r="V124" s="18"/>
      <c r="W124" s="18"/>
      <c r="X124" s="18"/>
      <c r="Z124" s="32"/>
      <c r="AA124" s="32"/>
    </row>
    <row r="125" spans="2:27" x14ac:dyDescent="0.6">
      <c r="B125" s="18"/>
      <c r="C125" s="18"/>
      <c r="D125" s="18"/>
      <c r="E125" s="18"/>
      <c r="F125" s="18"/>
      <c r="G125" s="18"/>
      <c r="H125" s="18"/>
      <c r="I125" s="27"/>
      <c r="J125" s="27"/>
      <c r="K125" s="28"/>
      <c r="L125" s="28"/>
      <c r="M125" s="18"/>
      <c r="N125" s="29"/>
      <c r="O125" s="29"/>
      <c r="P125" s="29"/>
      <c r="Q125" s="18"/>
      <c r="R125" s="18"/>
      <c r="S125" s="18"/>
      <c r="T125" s="18"/>
      <c r="U125" s="28"/>
      <c r="V125" s="18"/>
      <c r="W125" s="18"/>
      <c r="X125" s="18"/>
      <c r="Z125" s="32"/>
      <c r="AA125" s="32"/>
    </row>
    <row r="126" spans="2:27" x14ac:dyDescent="0.6">
      <c r="B126" s="18"/>
      <c r="C126" s="18"/>
      <c r="D126" s="18"/>
      <c r="E126" s="18"/>
      <c r="F126" s="18"/>
      <c r="G126" s="18"/>
      <c r="H126" s="18"/>
      <c r="I126" s="27"/>
      <c r="J126" s="27"/>
      <c r="K126" s="28"/>
      <c r="L126" s="28"/>
      <c r="M126" s="18"/>
      <c r="N126" s="29"/>
      <c r="O126" s="29"/>
      <c r="P126" s="29"/>
      <c r="Q126" s="18"/>
      <c r="R126" s="18"/>
      <c r="S126" s="18"/>
      <c r="T126" s="18"/>
      <c r="U126" s="28"/>
      <c r="V126" s="18"/>
      <c r="W126" s="18"/>
      <c r="X126" s="18"/>
      <c r="Z126" s="32"/>
      <c r="AA126" s="32"/>
    </row>
    <row r="127" spans="2:27" x14ac:dyDescent="0.6">
      <c r="B127" s="18"/>
      <c r="C127" s="18"/>
      <c r="D127" s="18"/>
      <c r="E127" s="18"/>
      <c r="F127" s="18"/>
      <c r="G127" s="18"/>
      <c r="H127" s="18"/>
      <c r="I127" s="27"/>
      <c r="J127" s="27"/>
      <c r="K127" s="28"/>
      <c r="L127" s="28"/>
      <c r="M127" s="18"/>
      <c r="N127" s="29"/>
      <c r="O127" s="29"/>
      <c r="P127" s="29"/>
      <c r="Q127" s="18"/>
      <c r="R127" s="18"/>
      <c r="S127" s="18"/>
      <c r="T127" s="18"/>
      <c r="U127" s="28"/>
      <c r="V127" s="18"/>
      <c r="W127" s="18"/>
      <c r="X127" s="18"/>
      <c r="Z127" s="32"/>
      <c r="AA127" s="32"/>
    </row>
    <row r="128" spans="2:27" x14ac:dyDescent="0.6">
      <c r="B128" s="18"/>
      <c r="C128" s="18"/>
      <c r="D128" s="18"/>
      <c r="E128" s="18"/>
      <c r="F128" s="18"/>
      <c r="G128" s="18"/>
      <c r="H128" s="18"/>
      <c r="I128" s="27"/>
      <c r="J128" s="27"/>
      <c r="K128" s="28"/>
      <c r="L128" s="28"/>
      <c r="M128" s="18"/>
      <c r="N128" s="29"/>
      <c r="O128" s="29"/>
      <c r="P128" s="29"/>
      <c r="Q128" s="18"/>
      <c r="R128" s="18"/>
      <c r="S128" s="18"/>
      <c r="T128" s="18"/>
      <c r="U128" s="28"/>
      <c r="V128" s="18"/>
      <c r="W128" s="18"/>
      <c r="X128" s="18"/>
      <c r="Z128" s="32"/>
      <c r="AA128" s="32"/>
    </row>
    <row r="129" spans="2:27" x14ac:dyDescent="0.6">
      <c r="B129" s="18"/>
      <c r="C129" s="18"/>
      <c r="D129" s="18"/>
      <c r="E129" s="18"/>
      <c r="F129" s="18"/>
      <c r="G129" s="18"/>
      <c r="H129" s="18"/>
      <c r="I129" s="27"/>
      <c r="J129" s="27"/>
      <c r="K129" s="28"/>
      <c r="L129" s="28"/>
      <c r="M129" s="18"/>
      <c r="N129" s="29"/>
      <c r="O129" s="29"/>
      <c r="P129" s="29"/>
      <c r="Q129" s="18"/>
      <c r="R129" s="18"/>
      <c r="S129" s="18"/>
      <c r="T129" s="18"/>
      <c r="U129" s="28"/>
      <c r="V129" s="18"/>
      <c r="W129" s="18"/>
      <c r="X129" s="18"/>
      <c r="Z129" s="32"/>
      <c r="AA129" s="32"/>
    </row>
    <row r="130" spans="2:27" x14ac:dyDescent="0.6">
      <c r="B130" s="18"/>
      <c r="C130" s="18"/>
      <c r="D130" s="18"/>
      <c r="E130" s="18"/>
      <c r="F130" s="18"/>
      <c r="G130" s="18"/>
      <c r="H130" s="18"/>
      <c r="I130" s="27"/>
      <c r="J130" s="27"/>
      <c r="K130" s="28"/>
      <c r="L130" s="28"/>
      <c r="M130" s="18"/>
      <c r="N130" s="29"/>
      <c r="O130" s="29"/>
      <c r="P130" s="29"/>
      <c r="Q130" s="18"/>
      <c r="R130" s="18"/>
      <c r="S130" s="18"/>
      <c r="T130" s="18"/>
      <c r="U130" s="28"/>
      <c r="V130" s="18"/>
      <c r="W130" s="18"/>
      <c r="X130" s="18"/>
      <c r="Z130" s="32"/>
      <c r="AA130" s="32"/>
    </row>
    <row r="131" spans="2:27" x14ac:dyDescent="0.6">
      <c r="B131" s="18"/>
      <c r="C131" s="18"/>
      <c r="D131" s="18"/>
      <c r="E131" s="18"/>
      <c r="F131" s="18"/>
      <c r="G131" s="18"/>
      <c r="H131" s="18"/>
      <c r="I131" s="27"/>
      <c r="J131" s="27"/>
      <c r="K131" s="28"/>
      <c r="L131" s="28"/>
      <c r="M131" s="18"/>
      <c r="N131" s="29"/>
      <c r="O131" s="29"/>
      <c r="P131" s="29"/>
      <c r="Q131" s="18"/>
      <c r="R131" s="18"/>
      <c r="S131" s="18"/>
      <c r="T131" s="18"/>
      <c r="U131" s="28"/>
      <c r="V131" s="18"/>
      <c r="W131" s="18"/>
      <c r="X131" s="18"/>
      <c r="Z131" s="32"/>
      <c r="AA131" s="32"/>
    </row>
    <row r="132" spans="2:27" x14ac:dyDescent="0.6">
      <c r="B132" s="18"/>
      <c r="C132" s="18"/>
      <c r="D132" s="18"/>
      <c r="E132" s="18"/>
      <c r="F132" s="18"/>
      <c r="G132" s="18"/>
      <c r="H132" s="18"/>
      <c r="I132" s="27"/>
      <c r="J132" s="27"/>
      <c r="K132" s="28"/>
      <c r="L132" s="28"/>
      <c r="M132" s="18"/>
      <c r="N132" s="29"/>
      <c r="O132" s="29"/>
      <c r="P132" s="29"/>
      <c r="Q132" s="18"/>
      <c r="R132" s="18"/>
      <c r="S132" s="18"/>
      <c r="T132" s="18"/>
      <c r="U132" s="28"/>
      <c r="V132" s="18"/>
      <c r="W132" s="18"/>
      <c r="X132" s="18"/>
      <c r="Z132" s="32"/>
      <c r="AA132" s="32"/>
    </row>
    <row r="133" spans="2:27" x14ac:dyDescent="0.6">
      <c r="B133" s="18"/>
      <c r="C133" s="18"/>
      <c r="D133" s="18"/>
      <c r="E133" s="18"/>
      <c r="F133" s="18"/>
      <c r="G133" s="18"/>
      <c r="H133" s="18"/>
      <c r="I133" s="27"/>
      <c r="J133" s="27"/>
      <c r="K133" s="28"/>
      <c r="L133" s="28"/>
      <c r="M133" s="18"/>
      <c r="N133" s="29"/>
      <c r="O133" s="29"/>
      <c r="P133" s="29"/>
      <c r="Q133" s="18"/>
      <c r="R133" s="18"/>
      <c r="S133" s="18"/>
      <c r="T133" s="18"/>
      <c r="U133" s="28"/>
      <c r="V133" s="18"/>
      <c r="W133" s="18"/>
      <c r="X133" s="18"/>
      <c r="Z133" s="32"/>
      <c r="AA133" s="32"/>
    </row>
    <row r="134" spans="2:27" x14ac:dyDescent="0.6">
      <c r="B134" s="18"/>
      <c r="C134" s="18"/>
      <c r="D134" s="18"/>
      <c r="E134" s="18"/>
      <c r="F134" s="18"/>
      <c r="G134" s="18"/>
      <c r="H134" s="18"/>
      <c r="I134" s="27"/>
      <c r="J134" s="27"/>
      <c r="K134" s="28"/>
      <c r="L134" s="28"/>
      <c r="M134" s="18"/>
      <c r="N134" s="29"/>
      <c r="O134" s="29"/>
      <c r="P134" s="29"/>
      <c r="Q134" s="18"/>
      <c r="R134" s="18"/>
      <c r="S134" s="18"/>
      <c r="T134" s="18"/>
      <c r="U134" s="28"/>
      <c r="V134" s="18"/>
      <c r="W134" s="18"/>
      <c r="X134" s="18"/>
      <c r="Z134" s="32"/>
      <c r="AA134" s="32"/>
    </row>
    <row r="135" spans="2:27" x14ac:dyDescent="0.6">
      <c r="B135" s="18"/>
      <c r="C135" s="18"/>
      <c r="D135" s="18"/>
      <c r="E135" s="18"/>
      <c r="F135" s="18"/>
      <c r="G135" s="18"/>
      <c r="H135" s="18"/>
      <c r="I135" s="27"/>
      <c r="J135" s="27"/>
      <c r="K135" s="28"/>
      <c r="L135" s="28"/>
      <c r="M135" s="18"/>
      <c r="N135" s="29"/>
      <c r="O135" s="29"/>
      <c r="P135" s="29"/>
      <c r="Q135" s="18"/>
      <c r="R135" s="18"/>
      <c r="S135" s="18"/>
      <c r="T135" s="18"/>
      <c r="U135" s="28"/>
      <c r="V135" s="18"/>
      <c r="W135" s="18"/>
      <c r="X135" s="18"/>
      <c r="Z135" s="32"/>
      <c r="AA135" s="32"/>
    </row>
    <row r="136" spans="2:27" x14ac:dyDescent="0.6">
      <c r="B136" s="18"/>
      <c r="C136" s="18"/>
      <c r="D136" s="18"/>
      <c r="E136" s="18"/>
      <c r="F136" s="18"/>
      <c r="G136" s="18"/>
      <c r="H136" s="18"/>
      <c r="I136" s="27"/>
      <c r="J136" s="27"/>
      <c r="K136" s="28"/>
      <c r="L136" s="28"/>
      <c r="M136" s="18"/>
      <c r="N136" s="29"/>
      <c r="O136" s="29"/>
      <c r="P136" s="29"/>
      <c r="Q136" s="18"/>
      <c r="R136" s="18"/>
      <c r="S136" s="18"/>
      <c r="T136" s="18"/>
      <c r="U136" s="28"/>
      <c r="V136" s="18"/>
      <c r="W136" s="18"/>
      <c r="X136" s="18"/>
      <c r="Z136" s="32"/>
      <c r="AA136" s="32"/>
    </row>
    <row r="137" spans="2:27" x14ac:dyDescent="0.6">
      <c r="B137" s="18"/>
      <c r="C137" s="18"/>
      <c r="D137" s="18"/>
      <c r="E137" s="18"/>
      <c r="F137" s="18"/>
      <c r="G137" s="18"/>
      <c r="H137" s="18"/>
      <c r="I137" s="27"/>
      <c r="J137" s="27"/>
      <c r="K137" s="28"/>
      <c r="L137" s="28"/>
      <c r="M137" s="18"/>
      <c r="N137" s="29"/>
      <c r="O137" s="29"/>
      <c r="P137" s="29"/>
      <c r="Q137" s="18"/>
      <c r="R137" s="18"/>
      <c r="S137" s="18"/>
      <c r="T137" s="18"/>
      <c r="U137" s="28"/>
      <c r="V137" s="18"/>
      <c r="W137" s="18"/>
      <c r="X137" s="18"/>
      <c r="Z137" s="32"/>
      <c r="AA137" s="32"/>
    </row>
    <row r="138" spans="2:27" x14ac:dyDescent="0.6">
      <c r="B138" s="18"/>
      <c r="C138" s="18"/>
      <c r="D138" s="18"/>
      <c r="E138" s="18"/>
      <c r="F138" s="18"/>
      <c r="G138" s="18"/>
      <c r="H138" s="18"/>
      <c r="I138" s="27"/>
      <c r="J138" s="27"/>
      <c r="K138" s="28"/>
      <c r="L138" s="28"/>
      <c r="M138" s="18"/>
      <c r="N138" s="29"/>
      <c r="O138" s="29"/>
      <c r="P138" s="29"/>
      <c r="Q138" s="18"/>
      <c r="R138" s="18"/>
      <c r="S138" s="18"/>
      <c r="T138" s="18"/>
      <c r="U138" s="28"/>
      <c r="V138" s="18"/>
      <c r="W138" s="18"/>
      <c r="X138" s="18"/>
      <c r="Z138" s="32"/>
      <c r="AA138" s="32"/>
    </row>
    <row r="139" spans="2:27" x14ac:dyDescent="0.6">
      <c r="B139" s="18"/>
      <c r="C139" s="18"/>
      <c r="D139" s="18"/>
      <c r="E139" s="18"/>
      <c r="F139" s="18"/>
      <c r="G139" s="18"/>
      <c r="H139" s="18"/>
      <c r="I139" s="27"/>
      <c r="J139" s="27"/>
      <c r="K139" s="28"/>
      <c r="L139" s="28"/>
      <c r="M139" s="18"/>
      <c r="N139" s="29"/>
      <c r="O139" s="29"/>
      <c r="P139" s="29"/>
      <c r="Q139" s="18"/>
      <c r="R139" s="18"/>
      <c r="S139" s="18"/>
      <c r="T139" s="18"/>
      <c r="U139" s="28"/>
      <c r="V139" s="18"/>
      <c r="W139" s="18"/>
      <c r="X139" s="18"/>
      <c r="Z139" s="32"/>
      <c r="AA139" s="32"/>
    </row>
    <row r="140" spans="2:27" x14ac:dyDescent="0.6">
      <c r="B140" s="18"/>
      <c r="C140" s="18"/>
      <c r="D140" s="18"/>
      <c r="E140" s="18"/>
      <c r="F140" s="18"/>
      <c r="G140" s="18"/>
      <c r="H140" s="18"/>
      <c r="I140" s="27"/>
      <c r="J140" s="27"/>
      <c r="K140" s="28"/>
      <c r="L140" s="28"/>
      <c r="M140" s="18"/>
      <c r="N140" s="29"/>
      <c r="O140" s="29"/>
      <c r="P140" s="29"/>
      <c r="Q140" s="18"/>
      <c r="R140" s="18"/>
      <c r="S140" s="18"/>
      <c r="T140" s="18"/>
      <c r="U140" s="28"/>
      <c r="V140" s="18"/>
      <c r="W140" s="18"/>
      <c r="X140" s="18"/>
      <c r="Z140" s="32"/>
      <c r="AA140" s="32"/>
    </row>
    <row r="141" spans="2:27" x14ac:dyDescent="0.6">
      <c r="B141" s="18"/>
      <c r="C141" s="18"/>
      <c r="D141" s="18"/>
      <c r="E141" s="18"/>
      <c r="F141" s="18"/>
      <c r="G141" s="18"/>
      <c r="H141" s="18"/>
      <c r="I141" s="27"/>
      <c r="J141" s="27"/>
      <c r="K141" s="28"/>
      <c r="L141" s="28"/>
      <c r="M141" s="18"/>
      <c r="N141" s="29"/>
      <c r="O141" s="29"/>
      <c r="P141" s="29"/>
      <c r="Q141" s="18"/>
      <c r="R141" s="18"/>
      <c r="S141" s="18"/>
      <c r="T141" s="18"/>
      <c r="U141" s="28"/>
      <c r="V141" s="18"/>
      <c r="W141" s="18"/>
      <c r="X141" s="18"/>
      <c r="Z141" s="32"/>
      <c r="AA141" s="32"/>
    </row>
    <row r="142" spans="2:27" x14ac:dyDescent="0.6">
      <c r="B142" s="18"/>
      <c r="C142" s="18"/>
      <c r="D142" s="18"/>
      <c r="E142" s="18"/>
      <c r="F142" s="18"/>
      <c r="G142" s="18"/>
      <c r="H142" s="18"/>
      <c r="I142" s="27"/>
      <c r="J142" s="27"/>
      <c r="K142" s="28"/>
      <c r="L142" s="28"/>
      <c r="M142" s="18"/>
      <c r="N142" s="29"/>
      <c r="O142" s="29"/>
      <c r="P142" s="29"/>
      <c r="Q142" s="18"/>
      <c r="R142" s="18"/>
      <c r="S142" s="18"/>
      <c r="T142" s="18"/>
      <c r="U142" s="28"/>
      <c r="V142" s="18"/>
      <c r="W142" s="18"/>
      <c r="X142" s="18"/>
      <c r="Z142" s="32"/>
      <c r="AA142" s="32"/>
    </row>
    <row r="143" spans="2:27" x14ac:dyDescent="0.6">
      <c r="B143" s="18"/>
      <c r="C143" s="18"/>
      <c r="D143" s="18"/>
      <c r="E143" s="18"/>
      <c r="F143" s="18"/>
      <c r="G143" s="18"/>
      <c r="H143" s="18"/>
      <c r="I143" s="27"/>
      <c r="J143" s="27"/>
      <c r="K143" s="28"/>
      <c r="L143" s="28"/>
      <c r="M143" s="18"/>
      <c r="N143" s="29"/>
      <c r="O143" s="29"/>
      <c r="P143" s="29"/>
      <c r="Q143" s="18"/>
      <c r="R143" s="18"/>
      <c r="S143" s="18"/>
      <c r="T143" s="18"/>
      <c r="U143" s="28"/>
      <c r="V143" s="18"/>
      <c r="W143" s="18"/>
      <c r="X143" s="18"/>
      <c r="Z143" s="32"/>
      <c r="AA143" s="32"/>
    </row>
    <row r="144" spans="2:27" x14ac:dyDescent="0.6">
      <c r="B144" s="18"/>
      <c r="C144" s="18"/>
      <c r="D144" s="18"/>
      <c r="E144" s="18"/>
      <c r="F144" s="18"/>
      <c r="G144" s="18"/>
      <c r="H144" s="18"/>
      <c r="I144" s="27"/>
      <c r="J144" s="27"/>
      <c r="K144" s="28"/>
      <c r="L144" s="28"/>
      <c r="M144" s="18"/>
      <c r="N144" s="29"/>
      <c r="O144" s="29"/>
      <c r="P144" s="29"/>
      <c r="Q144" s="18"/>
      <c r="R144" s="18"/>
      <c r="S144" s="18"/>
      <c r="T144" s="18"/>
      <c r="U144" s="28"/>
      <c r="V144" s="18"/>
      <c r="W144" s="18"/>
      <c r="X144" s="18"/>
      <c r="Z144" s="32"/>
      <c r="AA144" s="32"/>
    </row>
    <row r="145" spans="2:27" x14ac:dyDescent="0.6">
      <c r="B145" s="18"/>
      <c r="C145" s="18"/>
      <c r="D145" s="18"/>
      <c r="E145" s="18"/>
      <c r="F145" s="18"/>
      <c r="G145" s="18"/>
      <c r="H145" s="18"/>
      <c r="I145" s="27"/>
      <c r="J145" s="27"/>
      <c r="K145" s="28"/>
      <c r="L145" s="28"/>
      <c r="M145" s="18"/>
      <c r="N145" s="29"/>
      <c r="O145" s="29"/>
      <c r="P145" s="29"/>
      <c r="Q145" s="18"/>
      <c r="R145" s="18"/>
      <c r="S145" s="18"/>
      <c r="T145" s="18"/>
      <c r="U145" s="28"/>
      <c r="V145" s="18"/>
      <c r="W145" s="18"/>
      <c r="X145" s="18"/>
      <c r="Z145" s="32"/>
      <c r="AA145" s="32"/>
    </row>
  </sheetData>
  <mergeCells count="7">
    <mergeCell ref="U7:X7"/>
    <mergeCell ref="D5:E5"/>
    <mergeCell ref="B7:F7"/>
    <mergeCell ref="G7:H7"/>
    <mergeCell ref="I7:L7"/>
    <mergeCell ref="M7:P7"/>
    <mergeCell ref="Q7:T7"/>
  </mergeCell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9">
        <x14:dataValidation type="list" allowBlank="1" showInputMessage="1" showErrorMessage="1" xr:uid="{72BD242C-371D-4BA0-B911-7C63824FF420}">
          <x14:formula1>
            <xm:f>'Listen und Kennwerte'!#REF!</xm:f>
          </x14:formula1>
          <xm:sqref>F8:F59</xm:sqref>
        </x14:dataValidation>
        <x14:dataValidation type="list" allowBlank="1" showInputMessage="1" showErrorMessage="1" xr:uid="{2E9ACA42-1BC1-41F9-9250-7FC15891D439}">
          <x14:formula1>
            <xm:f>'Listen und Kennwerte'!#REF!</xm:f>
          </x14:formula1>
          <xm:sqref>E8:E59</xm:sqref>
        </x14:dataValidation>
        <x14:dataValidation type="list" allowBlank="1" showInputMessage="1" showErrorMessage="1" xr:uid="{82BF4C81-B74B-4CBD-9B62-DEA2409C3E75}">
          <x14:formula1>
            <xm:f>'Listen und Kennwerte'!#REF!</xm:f>
          </x14:formula1>
          <xm:sqref>D8:D59</xm:sqref>
        </x14:dataValidation>
        <x14:dataValidation type="list" allowBlank="1" showInputMessage="1" showErrorMessage="1" xr:uid="{58351A69-67DF-4E70-A0BC-EC43615D1152}">
          <x14:formula1>
            <xm:f>'Listen und Kennwerte'!#REF!</xm:f>
          </x14:formula1>
          <xm:sqref>G10:G59</xm:sqref>
        </x14:dataValidation>
        <x14:dataValidation type="list" allowBlank="1" showInputMessage="1" showErrorMessage="1" xr:uid="{CC1C0294-C21B-4897-9119-8CD0ECC930FC}">
          <x14:formula1>
            <xm:f>'Listen und Kennwerte'!#REF!</xm:f>
          </x14:formula1>
          <xm:sqref>Q10:Q59</xm:sqref>
        </x14:dataValidation>
        <x14:dataValidation type="list" allowBlank="1" showInputMessage="1" showErrorMessage="1" xr:uid="{347D36E3-3F26-48B1-AB4D-8180DF82D8A4}">
          <x14:formula1>
            <xm:f>'Listen und Kennwerte'!#REF!</xm:f>
          </x14:formula1>
          <xm:sqref>R10:R59</xm:sqref>
        </x14:dataValidation>
        <x14:dataValidation type="list" allowBlank="1" showInputMessage="1" showErrorMessage="1" xr:uid="{E79FD465-373D-4426-80C6-C345AA1834A4}">
          <x14:formula1>
            <xm:f>'Listen und Kennwerte'!#REF!</xm:f>
          </x14:formula1>
          <xm:sqref>H10:H59</xm:sqref>
        </x14:dataValidation>
        <x14:dataValidation type="list" allowBlank="1" showInputMessage="1" showErrorMessage="1" xr:uid="{CE78A286-1DD6-49ED-B156-2C702288CEE1}">
          <x14:formula1>
            <xm:f>'Listen und Kennwerte'!$Q$4:$Q$8</xm:f>
          </x14:formula1>
          <xm:sqref>M10:M59</xm:sqref>
        </x14:dataValidation>
        <x14:dataValidation type="list" allowBlank="1" showInputMessage="1" showErrorMessage="1" xr:uid="{5FEEBBAF-896E-4294-A718-6EFED62DD6C4}">
          <x14:formula1>
            <xm:f>'Listen und Kennwerte'!$S$4:$S$8</xm:f>
          </x14:formula1>
          <xm:sqref>C8:C59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BFC633-490C-4EC8-A476-DA7295CD492E}">
  <sheetPr codeName="Sheet7">
    <tabColor theme="1" tint="4.9989318521683403E-2"/>
  </sheetPr>
  <dimension ref="A1:BI142"/>
  <sheetViews>
    <sheetView showGridLines="0" zoomScale="55" zoomScaleNormal="55" workbookViewId="0">
      <pane xSplit="8" ySplit="9" topLeftCell="I10" activePane="bottomRight" state="frozen"/>
      <selection activeCell="K80" sqref="K80"/>
      <selection pane="topRight" activeCell="K80" sqref="K80"/>
      <selection pane="bottomLeft" activeCell="K80" sqref="K80"/>
      <selection pane="bottomRight" activeCell="Q10" sqref="Q10:U10"/>
    </sheetView>
  </sheetViews>
  <sheetFormatPr defaultRowHeight="15.6" x14ac:dyDescent="0.6"/>
  <cols>
    <col min="1" max="1" width="3.046875" customWidth="1"/>
    <col min="2" max="4" width="9.546875" customWidth="1"/>
    <col min="5" max="5" width="14.75" style="228" customWidth="1"/>
    <col min="6" max="6" width="3.046875" customWidth="1"/>
    <col min="8" max="8" width="8.796875" customWidth="1"/>
    <col min="9" max="13" width="10.5" customWidth="1"/>
    <col min="14" max="18" width="8.796875" customWidth="1"/>
    <col min="19" max="19" width="11.3984375" customWidth="1"/>
    <col min="20" max="23" width="8.796875" customWidth="1"/>
    <col min="24" max="24" width="2.75" customWidth="1"/>
    <col min="25" max="32" width="7.59765625" customWidth="1"/>
    <col min="33" max="33" width="11.296875" customWidth="1"/>
    <col min="34" max="34" width="2.75" customWidth="1"/>
    <col min="35" max="42" width="7.59765625" customWidth="1"/>
    <col min="43" max="43" width="10.69921875" customWidth="1"/>
    <col min="44" max="44" width="2.75" hidden="1" customWidth="1"/>
    <col min="45" max="48" width="9.25" hidden="1" customWidth="1"/>
    <col min="49" max="49" width="1.6484375" hidden="1" customWidth="1"/>
    <col min="50" max="50" width="10.69921875" hidden="1" customWidth="1"/>
    <col min="51" max="51" width="2.75" customWidth="1"/>
    <col min="52" max="52" width="8.6484375" customWidth="1"/>
    <col min="53" max="61" width="7.75" customWidth="1"/>
  </cols>
  <sheetData>
    <row r="1" spans="1:61" s="52" customFormat="1" ht="12" customHeight="1" x14ac:dyDescent="0.6">
      <c r="A1" s="52">
        <v>1</v>
      </c>
      <c r="B1" s="52">
        <v>2</v>
      </c>
      <c r="C1" s="52">
        <v>3</v>
      </c>
      <c r="D1" s="52">
        <v>4</v>
      </c>
      <c r="E1" s="221">
        <v>5</v>
      </c>
      <c r="F1" s="52">
        <v>6</v>
      </c>
      <c r="G1" s="52">
        <v>7</v>
      </c>
      <c r="H1" s="52">
        <v>8</v>
      </c>
      <c r="I1" s="52">
        <v>9</v>
      </c>
      <c r="J1" s="52">
        <v>10</v>
      </c>
      <c r="K1" s="52">
        <v>11</v>
      </c>
      <c r="L1" s="52">
        <v>12</v>
      </c>
      <c r="M1" s="52">
        <v>13</v>
      </c>
      <c r="N1" s="52">
        <v>14</v>
      </c>
      <c r="O1" s="52">
        <v>15</v>
      </c>
      <c r="P1" s="52">
        <v>16</v>
      </c>
      <c r="Q1" s="52">
        <v>17</v>
      </c>
      <c r="R1" s="52">
        <v>18</v>
      </c>
      <c r="S1" s="52">
        <v>19</v>
      </c>
      <c r="T1" s="52">
        <v>20</v>
      </c>
      <c r="V1" s="52">
        <v>21</v>
      </c>
      <c r="W1" s="52">
        <v>22</v>
      </c>
      <c r="X1" s="52">
        <v>23</v>
      </c>
      <c r="Y1" s="52">
        <v>24</v>
      </c>
      <c r="Z1" s="52">
        <v>25</v>
      </c>
      <c r="AA1" s="52">
        <v>26</v>
      </c>
      <c r="AC1" s="52">
        <v>30</v>
      </c>
      <c r="AD1" s="52">
        <v>31</v>
      </c>
      <c r="AG1" s="52">
        <v>32</v>
      </c>
      <c r="AH1" s="52">
        <v>33</v>
      </c>
      <c r="AI1" s="52">
        <v>34</v>
      </c>
      <c r="AJ1" s="52">
        <v>35</v>
      </c>
      <c r="AK1" s="52">
        <v>36</v>
      </c>
      <c r="AL1" s="52">
        <v>37</v>
      </c>
      <c r="AM1" s="52">
        <v>38</v>
      </c>
      <c r="AN1" s="52">
        <v>39</v>
      </c>
      <c r="AO1" s="52">
        <v>40</v>
      </c>
      <c r="AP1" s="52">
        <v>41</v>
      </c>
      <c r="AQ1" s="52">
        <v>42</v>
      </c>
      <c r="AR1" s="52">
        <v>45</v>
      </c>
      <c r="AS1" s="53">
        <v>46</v>
      </c>
      <c r="AT1" s="52">
        <v>47</v>
      </c>
      <c r="AU1" s="53">
        <v>48</v>
      </c>
      <c r="AV1" s="52">
        <v>49</v>
      </c>
      <c r="AW1" s="53">
        <v>50</v>
      </c>
      <c r="AX1" s="52">
        <v>51</v>
      </c>
      <c r="AY1" s="53">
        <v>52</v>
      </c>
      <c r="AZ1" s="53"/>
    </row>
    <row r="2" spans="1:61" s="136" customFormat="1" ht="21.3" customHeight="1" x14ac:dyDescent="0.6">
      <c r="B2" s="188"/>
      <c r="C2" s="189"/>
      <c r="D2" s="190"/>
      <c r="E2" s="222"/>
      <c r="F2" s="152"/>
      <c r="G2" s="187"/>
      <c r="H2" s="62"/>
      <c r="I2" s="62"/>
      <c r="J2" s="62"/>
      <c r="K2" s="62"/>
      <c r="L2" s="62"/>
      <c r="M2" s="62"/>
      <c r="N2" s="62"/>
      <c r="O2" s="62"/>
      <c r="P2" s="62"/>
      <c r="Q2" s="62"/>
      <c r="R2" s="62"/>
      <c r="S2" s="62"/>
      <c r="T2" s="62"/>
      <c r="U2" s="62"/>
      <c r="V2" s="62"/>
      <c r="W2" s="63"/>
      <c r="X2" s="191"/>
      <c r="Y2" s="135" t="s">
        <v>265</v>
      </c>
      <c r="Z2" s="62"/>
      <c r="AA2" s="62"/>
      <c r="AB2" s="62"/>
      <c r="AC2" s="62"/>
      <c r="AD2" s="62"/>
      <c r="AE2" s="62"/>
      <c r="AF2" s="62"/>
      <c r="AG2" s="63"/>
      <c r="AH2" s="191"/>
      <c r="AI2" s="135" t="s">
        <v>265</v>
      </c>
      <c r="AJ2" s="62"/>
      <c r="AK2" s="62"/>
      <c r="AL2" s="62"/>
      <c r="AM2" s="62"/>
      <c r="AN2" s="62"/>
      <c r="AO2" s="62"/>
      <c r="AP2" s="62"/>
      <c r="AQ2" s="462"/>
      <c r="AS2" s="135" t="s">
        <v>265</v>
      </c>
      <c r="AT2" s="62"/>
      <c r="AU2" s="62"/>
      <c r="AV2" s="62"/>
      <c r="AW2" s="62"/>
      <c r="AX2" s="462"/>
    </row>
    <row r="3" spans="1:61" s="152" customFormat="1" ht="21.3" customHeight="1" x14ac:dyDescent="0.6">
      <c r="B3" s="196" t="s">
        <v>257</v>
      </c>
      <c r="C3" s="197"/>
      <c r="D3" s="198" t="s">
        <v>260</v>
      </c>
      <c r="E3" s="223"/>
      <c r="G3" s="172"/>
      <c r="H3" s="143"/>
      <c r="I3" s="143"/>
      <c r="J3" s="143"/>
      <c r="K3" s="143"/>
      <c r="L3" s="143"/>
      <c r="M3" s="143"/>
      <c r="N3" s="143"/>
      <c r="O3" s="143"/>
      <c r="P3" s="143"/>
      <c r="Q3" s="143"/>
      <c r="R3" s="143"/>
      <c r="S3" s="143"/>
      <c r="T3" s="143"/>
      <c r="U3" s="143"/>
      <c r="V3" s="143"/>
      <c r="W3" s="170"/>
      <c r="X3" s="191"/>
      <c r="Y3" s="142" t="s">
        <v>266</v>
      </c>
      <c r="Z3" s="153"/>
      <c r="AA3" s="153"/>
      <c r="AB3" s="153"/>
      <c r="AC3" s="153"/>
      <c r="AD3" s="153"/>
      <c r="AE3" s="323" t="s">
        <v>338</v>
      </c>
      <c r="AF3" s="153"/>
      <c r="AG3" s="324"/>
      <c r="AH3" s="192"/>
      <c r="AI3" s="142" t="s">
        <v>266</v>
      </c>
      <c r="AJ3" s="153"/>
      <c r="AK3" s="153"/>
      <c r="AL3" s="153"/>
      <c r="AM3" s="153"/>
      <c r="AN3" s="153"/>
      <c r="AO3" s="153"/>
      <c r="AP3" s="153"/>
      <c r="AQ3" s="463"/>
      <c r="AS3" s="142" t="s">
        <v>277</v>
      </c>
      <c r="AT3" s="153"/>
      <c r="AU3" s="153"/>
      <c r="AV3" s="153"/>
      <c r="AW3" s="153"/>
      <c r="AX3" s="463"/>
    </row>
    <row r="4" spans="1:61" s="152" customFormat="1" ht="21.3" customHeight="1" x14ac:dyDescent="0.6">
      <c r="B4" s="196" t="s">
        <v>258</v>
      </c>
      <c r="C4" s="197"/>
      <c r="D4" s="198" t="s">
        <v>259</v>
      </c>
      <c r="E4" s="223"/>
      <c r="G4" s="172"/>
      <c r="H4" s="143"/>
      <c r="I4" s="143"/>
      <c r="J4" s="143"/>
      <c r="K4" s="143"/>
      <c r="L4" s="143"/>
      <c r="M4" s="143"/>
      <c r="N4" s="143"/>
      <c r="O4" s="143"/>
      <c r="P4" s="143"/>
      <c r="Q4" s="143"/>
      <c r="R4" s="143"/>
      <c r="S4" s="143"/>
      <c r="T4" s="143"/>
      <c r="U4" s="143"/>
      <c r="V4" s="143"/>
      <c r="W4" s="170"/>
      <c r="X4" s="191"/>
      <c r="Y4" s="142" t="s">
        <v>275</v>
      </c>
      <c r="Z4" s="153"/>
      <c r="AA4" s="153"/>
      <c r="AB4" s="153"/>
      <c r="AC4" s="153"/>
      <c r="AD4" s="153"/>
      <c r="AE4" s="153" t="s">
        <v>336</v>
      </c>
      <c r="AF4" s="153"/>
      <c r="AG4" s="324"/>
      <c r="AH4" s="192"/>
      <c r="AI4" s="142" t="s">
        <v>276</v>
      </c>
      <c r="AJ4" s="153"/>
      <c r="AK4" s="153"/>
      <c r="AL4" s="153"/>
      <c r="AM4" s="153"/>
      <c r="AN4" s="153"/>
      <c r="AO4" s="153"/>
      <c r="AP4" s="153"/>
      <c r="AQ4" s="464"/>
      <c r="AS4" s="142" t="s">
        <v>278</v>
      </c>
      <c r="AT4" s="153"/>
      <c r="AU4" s="153"/>
      <c r="AV4" s="153"/>
      <c r="AW4" s="153"/>
      <c r="AX4" s="464"/>
    </row>
    <row r="5" spans="1:61" s="152" customFormat="1" ht="21.3" customHeight="1" x14ac:dyDescent="0.6">
      <c r="B5" s="195" t="s">
        <v>293</v>
      </c>
      <c r="C5" s="193"/>
      <c r="D5" s="194" t="s">
        <v>294</v>
      </c>
      <c r="E5" s="224"/>
      <c r="G5" s="173"/>
      <c r="H5" s="149"/>
      <c r="I5" s="149"/>
      <c r="J5" s="149"/>
      <c r="K5" s="149"/>
      <c r="L5" s="149"/>
      <c r="M5" s="149"/>
      <c r="N5" s="149"/>
      <c r="O5" s="149"/>
      <c r="P5" s="149"/>
      <c r="Q5" s="149"/>
      <c r="R5" s="149"/>
      <c r="S5" s="149"/>
      <c r="T5" s="149"/>
      <c r="U5" s="149"/>
      <c r="V5" s="149"/>
      <c r="W5" s="171"/>
      <c r="X5" s="191"/>
      <c r="Y5" s="199" t="s">
        <v>287</v>
      </c>
      <c r="Z5" s="156"/>
      <c r="AA5" s="156"/>
      <c r="AB5" s="156"/>
      <c r="AC5" s="156"/>
      <c r="AD5" s="156"/>
      <c r="AE5" s="156" t="s">
        <v>337</v>
      </c>
      <c r="AF5" s="156"/>
      <c r="AG5" s="325"/>
      <c r="AH5" s="192"/>
      <c r="AI5" s="148"/>
      <c r="AJ5" s="156"/>
      <c r="AK5" s="156"/>
      <c r="AL5" s="156"/>
      <c r="AM5" s="156"/>
      <c r="AN5" s="156"/>
      <c r="AO5" s="156"/>
      <c r="AP5" s="156"/>
      <c r="AQ5" s="465"/>
      <c r="AS5" s="142"/>
      <c r="AT5" s="153"/>
      <c r="AU5" s="153"/>
      <c r="AV5" s="153"/>
      <c r="AW5" s="153"/>
      <c r="AX5" s="464"/>
    </row>
    <row r="6" spans="1:61" s="186" customFormat="1" ht="12" customHeight="1" x14ac:dyDescent="0.6">
      <c r="E6" s="225"/>
      <c r="F6" s="152"/>
      <c r="G6" s="53">
        <v>2</v>
      </c>
      <c r="H6" s="52">
        <v>3</v>
      </c>
      <c r="I6" s="53">
        <v>6</v>
      </c>
      <c r="J6" s="52">
        <v>7</v>
      </c>
      <c r="K6" s="53">
        <v>8</v>
      </c>
      <c r="L6" s="52">
        <v>9</v>
      </c>
      <c r="M6" s="53">
        <v>10</v>
      </c>
      <c r="N6" s="53">
        <v>12</v>
      </c>
      <c r="O6" s="52">
        <v>13</v>
      </c>
      <c r="P6" s="52">
        <v>15</v>
      </c>
      <c r="Q6" s="53">
        <v>16</v>
      </c>
      <c r="R6" s="52">
        <v>17</v>
      </c>
      <c r="S6" s="53">
        <v>18</v>
      </c>
      <c r="T6" s="52">
        <v>19</v>
      </c>
      <c r="U6" s="52"/>
      <c r="V6" s="53">
        <v>22</v>
      </c>
      <c r="W6" s="53">
        <v>22</v>
      </c>
      <c r="X6" s="53">
        <v>22</v>
      </c>
      <c r="Y6" s="53">
        <v>22</v>
      </c>
      <c r="Z6" s="53">
        <v>22</v>
      </c>
      <c r="AA6" s="52">
        <v>27</v>
      </c>
      <c r="AB6" s="52"/>
      <c r="AC6" s="52">
        <v>29</v>
      </c>
      <c r="AD6" s="53">
        <v>30</v>
      </c>
      <c r="AE6" s="53"/>
      <c r="AF6" s="53"/>
      <c r="AG6" s="52">
        <v>31</v>
      </c>
      <c r="AH6" s="53">
        <v>32</v>
      </c>
      <c r="AI6" s="52">
        <v>33</v>
      </c>
      <c r="AJ6" s="53">
        <v>34</v>
      </c>
      <c r="AK6" s="52">
        <v>35</v>
      </c>
      <c r="AL6" s="53">
        <v>36</v>
      </c>
      <c r="AM6" s="52">
        <v>37</v>
      </c>
      <c r="AN6" s="53">
        <v>38</v>
      </c>
      <c r="AO6" s="52">
        <v>39</v>
      </c>
      <c r="AP6" s="53">
        <v>40</v>
      </c>
      <c r="AQ6" s="52">
        <v>41</v>
      </c>
      <c r="AR6" s="53">
        <v>42</v>
      </c>
      <c r="AS6" s="52">
        <v>43</v>
      </c>
      <c r="AT6" s="53">
        <v>44</v>
      </c>
      <c r="AU6" s="52">
        <v>45</v>
      </c>
      <c r="AV6" s="53">
        <v>46</v>
      </c>
      <c r="AW6" s="52">
        <v>47</v>
      </c>
      <c r="AX6" s="53">
        <v>48</v>
      </c>
      <c r="AY6" s="52">
        <v>49</v>
      </c>
      <c r="AZ6" s="52"/>
    </row>
    <row r="7" spans="1:61" s="180" customFormat="1" ht="19.5" customHeight="1" x14ac:dyDescent="0.6">
      <c r="B7" s="475" t="s">
        <v>286</v>
      </c>
      <c r="C7" s="476"/>
      <c r="D7" s="476"/>
      <c r="E7" s="477"/>
      <c r="F7" s="152"/>
      <c r="G7" s="443"/>
      <c r="H7" s="444"/>
      <c r="I7" s="443" t="s">
        <v>121</v>
      </c>
      <c r="J7" s="444"/>
      <c r="K7" s="444"/>
      <c r="L7" s="449"/>
      <c r="M7" s="443" t="s">
        <v>122</v>
      </c>
      <c r="N7" s="444"/>
      <c r="O7" s="449"/>
      <c r="P7" s="444"/>
      <c r="Q7" s="444"/>
      <c r="R7" s="444"/>
      <c r="S7" s="444"/>
      <c r="T7" s="444"/>
      <c r="U7" s="229"/>
      <c r="V7" s="443"/>
      <c r="W7" s="449"/>
      <c r="X7" s="191"/>
      <c r="Y7" s="443" t="s">
        <v>300</v>
      </c>
      <c r="Z7" s="444"/>
      <c r="AA7" s="444"/>
      <c r="AB7" s="444"/>
      <c r="AC7" s="444"/>
      <c r="AD7" s="444"/>
      <c r="AE7" s="444"/>
      <c r="AF7" s="444"/>
      <c r="AG7" s="449"/>
      <c r="AH7" s="230"/>
      <c r="AI7" s="443" t="s">
        <v>137</v>
      </c>
      <c r="AJ7" s="444"/>
      <c r="AK7" s="444"/>
      <c r="AL7" s="444"/>
      <c r="AM7" s="444"/>
      <c r="AN7" s="444"/>
      <c r="AO7" s="444"/>
      <c r="AP7" s="444"/>
      <c r="AQ7" s="449"/>
      <c r="AS7" s="181"/>
      <c r="AT7" s="182"/>
      <c r="AU7" s="182"/>
      <c r="AV7" s="182"/>
      <c r="AW7" s="182"/>
      <c r="AX7" s="183" t="s">
        <v>138</v>
      </c>
      <c r="AY7" s="152"/>
      <c r="AZ7" s="152"/>
      <c r="BA7" s="466" t="s">
        <v>335</v>
      </c>
      <c r="BB7" s="467"/>
      <c r="BC7" s="467"/>
      <c r="BD7" s="467"/>
      <c r="BE7" s="467"/>
      <c r="BF7" s="467"/>
      <c r="BG7" s="467"/>
      <c r="BH7" s="467"/>
      <c r="BI7" s="468"/>
    </row>
    <row r="8" spans="1:61" s="180" customFormat="1" ht="19.5" customHeight="1" x14ac:dyDescent="0.6">
      <c r="B8" s="478"/>
      <c r="C8" s="479"/>
      <c r="D8" s="479"/>
      <c r="E8" s="480"/>
      <c r="F8" s="152"/>
      <c r="G8" s="231" t="s">
        <v>23</v>
      </c>
      <c r="H8" s="232" t="s">
        <v>24</v>
      </c>
      <c r="I8" s="231" t="s">
        <v>121</v>
      </c>
      <c r="J8" s="232" t="s">
        <v>124</v>
      </c>
      <c r="K8" s="232" t="s">
        <v>125</v>
      </c>
      <c r="L8" s="233" t="s">
        <v>126</v>
      </c>
      <c r="M8" s="231" t="s">
        <v>308</v>
      </c>
      <c r="N8" s="232" t="s">
        <v>309</v>
      </c>
      <c r="O8" s="233" t="s">
        <v>310</v>
      </c>
      <c r="P8" s="232" t="s">
        <v>281</v>
      </c>
      <c r="Q8" s="232" t="s">
        <v>311</v>
      </c>
      <c r="R8" s="232" t="s">
        <v>312</v>
      </c>
      <c r="S8" s="232" t="s">
        <v>313</v>
      </c>
      <c r="T8" s="232" t="s">
        <v>314</v>
      </c>
      <c r="U8" s="232" t="s">
        <v>315</v>
      </c>
      <c r="V8" s="231" t="s">
        <v>316</v>
      </c>
      <c r="W8" s="233" t="s">
        <v>150</v>
      </c>
      <c r="X8" s="191"/>
      <c r="Y8" s="231" t="s">
        <v>130</v>
      </c>
      <c r="Z8" s="232" t="s">
        <v>317</v>
      </c>
      <c r="AA8" s="232" t="s">
        <v>318</v>
      </c>
      <c r="AB8" s="232" t="s">
        <v>319</v>
      </c>
      <c r="AC8" s="232" t="s">
        <v>320</v>
      </c>
      <c r="AD8" s="232" t="s">
        <v>321</v>
      </c>
      <c r="AE8" s="232" t="s">
        <v>322</v>
      </c>
      <c r="AF8" s="234" t="s">
        <v>323</v>
      </c>
      <c r="AG8" s="233" t="s">
        <v>290</v>
      </c>
      <c r="AH8" s="230"/>
      <c r="AI8" s="231" t="s">
        <v>324</v>
      </c>
      <c r="AJ8" s="232" t="s">
        <v>325</v>
      </c>
      <c r="AK8" s="232" t="s">
        <v>326</v>
      </c>
      <c r="AL8" s="232" t="s">
        <v>327</v>
      </c>
      <c r="AM8" s="232" t="s">
        <v>328</v>
      </c>
      <c r="AN8" s="232" t="s">
        <v>329</v>
      </c>
      <c r="AO8" s="232" t="s">
        <v>330</v>
      </c>
      <c r="AP8" s="232" t="s">
        <v>331</v>
      </c>
      <c r="AQ8" s="233" t="s">
        <v>332</v>
      </c>
      <c r="AS8" s="178"/>
      <c r="AT8" s="184"/>
      <c r="AU8" s="184"/>
      <c r="AV8" s="177"/>
      <c r="AW8" s="185"/>
      <c r="AX8" s="179"/>
      <c r="AY8" s="152"/>
      <c r="AZ8" s="152"/>
      <c r="BA8" s="469"/>
      <c r="BB8" s="470"/>
      <c r="BC8" s="470"/>
      <c r="BD8" s="470"/>
      <c r="BE8" s="470"/>
      <c r="BF8" s="470"/>
      <c r="BG8" s="470"/>
      <c r="BH8" s="470"/>
      <c r="BI8" s="471"/>
    </row>
    <row r="9" spans="1:61" s="23" customFormat="1" ht="19.5" customHeight="1" x14ac:dyDescent="0.6">
      <c r="B9" s="481"/>
      <c r="C9" s="482"/>
      <c r="D9" s="482"/>
      <c r="E9" s="483"/>
      <c r="F9" s="152"/>
      <c r="G9" s="235" t="s">
        <v>39</v>
      </c>
      <c r="H9" s="236" t="s">
        <v>39</v>
      </c>
      <c r="I9" s="235" t="s">
        <v>39</v>
      </c>
      <c r="J9" s="236" t="s">
        <v>40</v>
      </c>
      <c r="K9" s="236" t="s">
        <v>40</v>
      </c>
      <c r="L9" s="237" t="s">
        <v>40</v>
      </c>
      <c r="M9" s="235" t="s">
        <v>41</v>
      </c>
      <c r="N9" s="236" t="s">
        <v>43</v>
      </c>
      <c r="O9" s="237" t="s">
        <v>43</v>
      </c>
      <c r="P9" s="236" t="s">
        <v>39</v>
      </c>
      <c r="Q9" s="236" t="s">
        <v>132</v>
      </c>
      <c r="R9" s="236" t="s">
        <v>132</v>
      </c>
      <c r="S9" s="236" t="s">
        <v>132</v>
      </c>
      <c r="T9" s="236" t="s">
        <v>132</v>
      </c>
      <c r="U9" s="236" t="s">
        <v>132</v>
      </c>
      <c r="V9" s="235" t="s">
        <v>39</v>
      </c>
      <c r="W9" s="237" t="s">
        <v>39</v>
      </c>
      <c r="X9" s="191"/>
      <c r="Y9" s="235" t="s">
        <v>39</v>
      </c>
      <c r="Z9" s="236" t="s">
        <v>39</v>
      </c>
      <c r="AA9" s="236" t="s">
        <v>39</v>
      </c>
      <c r="AB9" s="236" t="s">
        <v>39</v>
      </c>
      <c r="AC9" s="236" t="s">
        <v>134</v>
      </c>
      <c r="AD9" s="236" t="s">
        <v>134</v>
      </c>
      <c r="AE9" s="236" t="s">
        <v>134</v>
      </c>
      <c r="AF9" s="238" t="s">
        <v>135</v>
      </c>
      <c r="AG9" s="237"/>
      <c r="AH9" s="239">
        <v>1</v>
      </c>
      <c r="AI9" s="235" t="s">
        <v>133</v>
      </c>
      <c r="AJ9" s="236" t="s">
        <v>43</v>
      </c>
      <c r="AK9" s="236" t="s">
        <v>133</v>
      </c>
      <c r="AL9" s="236" t="s">
        <v>43</v>
      </c>
      <c r="AM9" s="236" t="s">
        <v>133</v>
      </c>
      <c r="AN9" s="236" t="s">
        <v>43</v>
      </c>
      <c r="AO9" s="236" t="s">
        <v>133</v>
      </c>
      <c r="AP9" s="236" t="s">
        <v>43</v>
      </c>
      <c r="AQ9" s="237" t="s">
        <v>135</v>
      </c>
      <c r="AS9" s="57"/>
      <c r="AT9" s="58"/>
      <c r="AU9" s="58"/>
      <c r="AV9" s="58"/>
      <c r="AW9" s="99"/>
      <c r="AX9" s="59"/>
      <c r="AY9" s="152"/>
      <c r="AZ9" s="152"/>
      <c r="BA9" s="472"/>
      <c r="BB9" s="473"/>
      <c r="BC9" s="473"/>
      <c r="BD9" s="473"/>
      <c r="BE9" s="473"/>
      <c r="BF9" s="473"/>
      <c r="BG9" s="473"/>
      <c r="BH9" s="473"/>
      <c r="BI9" s="474"/>
    </row>
    <row r="10" spans="1:61" s="1" customFormat="1" ht="20.05" customHeight="1" x14ac:dyDescent="0.6">
      <c r="B10" s="200"/>
      <c r="C10" s="137"/>
      <c r="D10" s="137"/>
      <c r="E10" s="226"/>
      <c r="F10" s="152"/>
      <c r="G10" s="240" t="s">
        <v>45</v>
      </c>
      <c r="H10" s="241" t="s">
        <v>39</v>
      </c>
      <c r="I10" s="240" t="s">
        <v>136</v>
      </c>
      <c r="J10" s="241">
        <v>3</v>
      </c>
      <c r="K10" s="241">
        <v>0.6</v>
      </c>
      <c r="L10" s="242">
        <v>0.6</v>
      </c>
      <c r="M10" s="243">
        <v>1000</v>
      </c>
      <c r="N10" s="243">
        <v>30</v>
      </c>
      <c r="O10" s="244">
        <v>30</v>
      </c>
      <c r="P10" s="245" t="s">
        <v>170</v>
      </c>
      <c r="Q10" s="243">
        <f>VLOOKUP(P10,'Listen und Kennwerte'!$B$4:$O$11,2,FALSE)</f>
        <v>28</v>
      </c>
      <c r="R10" s="243">
        <f>VLOOKUP(P10,'Listen und Kennwerte'!$B$4:$O$11,2,FALSE)</f>
        <v>28</v>
      </c>
      <c r="S10" s="246">
        <f>VLOOKUP(P10,'Listen und Kennwerte'!$B$4:$O$11,8,FALSE)</f>
        <v>12600</v>
      </c>
      <c r="T10" s="246">
        <f>VLOOKUP(P10,'Listen und Kennwerte'!$B$4:$O$11,9,FALSE)</f>
        <v>10500</v>
      </c>
      <c r="U10" s="246">
        <f>VLOOKUP(P10,'Listen und Kennwerte'!$B$4:$O$11,12,FALSE)</f>
        <v>540</v>
      </c>
      <c r="V10" s="247">
        <v>0.6</v>
      </c>
      <c r="W10" s="248">
        <v>1.3</v>
      </c>
      <c r="X10" s="191"/>
      <c r="Y10" s="249">
        <v>17.32</v>
      </c>
      <c r="Z10" s="250">
        <v>0.28000000000000003</v>
      </c>
      <c r="AA10" s="250">
        <v>1</v>
      </c>
      <c r="AB10" s="250">
        <v>1</v>
      </c>
      <c r="AC10" s="252">
        <v>2777.7777777777778</v>
      </c>
      <c r="AD10" s="252">
        <v>833.33</v>
      </c>
      <c r="AE10" s="252">
        <v>833.33</v>
      </c>
      <c r="AF10" s="203">
        <v>0.16</v>
      </c>
      <c r="AG10" s="253" t="s">
        <v>305</v>
      </c>
      <c r="AH10" s="239"/>
      <c r="AI10" s="249">
        <v>10</v>
      </c>
      <c r="AJ10" s="251">
        <v>40</v>
      </c>
      <c r="AK10" s="251">
        <v>0.01</v>
      </c>
      <c r="AL10" s="251">
        <v>40</v>
      </c>
      <c r="AM10" s="251">
        <v>0</v>
      </c>
      <c r="AN10" s="251">
        <v>30</v>
      </c>
      <c r="AO10" s="251">
        <v>0</v>
      </c>
      <c r="AP10" s="251">
        <v>30</v>
      </c>
      <c r="AQ10" s="204">
        <v>0.17846347766719858</v>
      </c>
      <c r="AR10" s="1">
        <v>30.26</v>
      </c>
      <c r="AS10" s="201">
        <v>30.26</v>
      </c>
      <c r="AT10" s="202">
        <v>30.26</v>
      </c>
      <c r="AU10" s="202">
        <v>30.26</v>
      </c>
      <c r="AV10" s="202"/>
      <c r="AW10" s="205"/>
      <c r="AX10" s="204"/>
      <c r="AY10" s="152"/>
      <c r="AZ10" s="322">
        <f>AF10-AQ10</f>
        <v>-1.846347766719858E-2</v>
      </c>
      <c r="BA10" s="319"/>
      <c r="BB10" s="320"/>
      <c r="BC10" s="320"/>
      <c r="BD10" s="320"/>
      <c r="BE10" s="320"/>
      <c r="BF10" s="320"/>
      <c r="BG10" s="320"/>
      <c r="BH10" s="320"/>
      <c r="BI10" s="321"/>
    </row>
    <row r="11" spans="1:61" s="1" customFormat="1" ht="20.05" customHeight="1" x14ac:dyDescent="0.6">
      <c r="B11" s="297" t="s">
        <v>288</v>
      </c>
      <c r="C11" s="298"/>
      <c r="D11" s="299"/>
      <c r="E11" s="300"/>
      <c r="F11" s="152"/>
      <c r="G11" s="254" t="s">
        <v>50</v>
      </c>
      <c r="H11" s="255" t="s">
        <v>39</v>
      </c>
      <c r="I11" s="254" t="s">
        <v>136</v>
      </c>
      <c r="J11" s="255">
        <v>6</v>
      </c>
      <c r="K11" s="255">
        <v>0.6</v>
      </c>
      <c r="L11" s="256">
        <v>0.6</v>
      </c>
      <c r="M11" s="257">
        <v>2600</v>
      </c>
      <c r="N11" s="257">
        <v>30</v>
      </c>
      <c r="O11" s="258">
        <v>30</v>
      </c>
      <c r="P11" s="259" t="s">
        <v>170</v>
      </c>
      <c r="Q11" s="257">
        <f>VLOOKUP(P11,'Listen und Kennwerte'!$B$4:$O$11,2,FALSE)</f>
        <v>28</v>
      </c>
      <c r="R11" s="257">
        <f>VLOOKUP(P11,'Listen und Kennwerte'!$B$4:$O$11,2,FALSE)</f>
        <v>28</v>
      </c>
      <c r="S11" s="260">
        <f>VLOOKUP(P11,'Listen und Kennwerte'!$B$4:$O$11,8,FALSE)</f>
        <v>12600</v>
      </c>
      <c r="T11" s="260">
        <f>VLOOKUP(P11,'Listen und Kennwerte'!$B$4:$O$11,9,FALSE)</f>
        <v>10500</v>
      </c>
      <c r="U11" s="260">
        <f>VLOOKUP(P11,'Listen und Kennwerte'!$B$4:$O$11,12,FALSE)</f>
        <v>540</v>
      </c>
      <c r="V11" s="261">
        <v>0.6</v>
      </c>
      <c r="W11" s="256">
        <v>1.3</v>
      </c>
      <c r="X11" s="191"/>
      <c r="Y11" s="262">
        <v>34.64</v>
      </c>
      <c r="Z11" s="263">
        <v>0.56999999999999995</v>
      </c>
      <c r="AA11" s="263">
        <v>0.96</v>
      </c>
      <c r="AB11" s="263">
        <v>1</v>
      </c>
      <c r="AC11" s="265">
        <v>7222.2222222222226</v>
      </c>
      <c r="AD11" s="265">
        <v>833.33</v>
      </c>
      <c r="AE11" s="265">
        <v>833.33</v>
      </c>
      <c r="AF11" s="208">
        <v>0.69</v>
      </c>
      <c r="AG11" s="266" t="s">
        <v>304</v>
      </c>
      <c r="AH11" s="239"/>
      <c r="AI11" s="262">
        <v>30</v>
      </c>
      <c r="AJ11" s="264">
        <v>108</v>
      </c>
      <c r="AK11" s="264">
        <v>0.03</v>
      </c>
      <c r="AL11" s="264">
        <v>108</v>
      </c>
      <c r="AM11" s="264">
        <v>0</v>
      </c>
      <c r="AN11" s="264">
        <v>30</v>
      </c>
      <c r="AO11" s="264">
        <v>0</v>
      </c>
      <c r="AP11" s="264">
        <v>30</v>
      </c>
      <c r="AQ11" s="209">
        <v>0.61723626164931</v>
      </c>
      <c r="AR11" s="1">
        <v>32.97</v>
      </c>
      <c r="AS11" s="206">
        <v>32.99</v>
      </c>
      <c r="AT11" s="207">
        <v>32.99</v>
      </c>
      <c r="AU11" s="207">
        <v>32.99</v>
      </c>
      <c r="AV11" s="207"/>
      <c r="AW11" s="210"/>
      <c r="AX11" s="209"/>
      <c r="AY11" s="152"/>
      <c r="AZ11" s="322">
        <f t="shared" ref="AZ11:AZ32" si="0">AF11-AQ11</f>
        <v>7.2763738350689944E-2</v>
      </c>
      <c r="BA11" s="313"/>
      <c r="BB11" s="314"/>
      <c r="BC11" s="314"/>
      <c r="BD11" s="314"/>
      <c r="BE11" s="314"/>
      <c r="BF11" s="314"/>
      <c r="BG11" s="314"/>
      <c r="BH11" s="314"/>
      <c r="BI11" s="315"/>
    </row>
    <row r="12" spans="1:61" s="1" customFormat="1" ht="20.05" customHeight="1" x14ac:dyDescent="0.6">
      <c r="B12" s="297" t="s">
        <v>295</v>
      </c>
      <c r="C12" s="298"/>
      <c r="D12" s="299"/>
      <c r="E12" s="300"/>
      <c r="F12" s="152"/>
      <c r="G12" s="267" t="s">
        <v>51</v>
      </c>
      <c r="H12" s="241" t="s">
        <v>39</v>
      </c>
      <c r="I12" s="267" t="s">
        <v>136</v>
      </c>
      <c r="J12" s="241">
        <v>9</v>
      </c>
      <c r="K12" s="241">
        <v>0.6</v>
      </c>
      <c r="L12" s="242">
        <v>0.6</v>
      </c>
      <c r="M12" s="268">
        <v>2600</v>
      </c>
      <c r="N12" s="268">
        <v>30</v>
      </c>
      <c r="O12" s="269">
        <v>30</v>
      </c>
      <c r="P12" s="270" t="s">
        <v>170</v>
      </c>
      <c r="Q12" s="268">
        <f>VLOOKUP(P12,'Listen und Kennwerte'!$B$4:$O$11,2,FALSE)</f>
        <v>28</v>
      </c>
      <c r="R12" s="268">
        <f>VLOOKUP(P12,'Listen und Kennwerte'!$B$4:$O$11,2,FALSE)</f>
        <v>28</v>
      </c>
      <c r="S12" s="271">
        <f>VLOOKUP(P12,'Listen und Kennwerte'!$B$4:$O$11,8,FALSE)</f>
        <v>12600</v>
      </c>
      <c r="T12" s="271">
        <f>VLOOKUP(P12,'Listen und Kennwerte'!$B$4:$O$11,9,FALSE)</f>
        <v>10500</v>
      </c>
      <c r="U12" s="271">
        <f>VLOOKUP(P12,'Listen und Kennwerte'!$B$4:$O$11,12,FALSE)</f>
        <v>540</v>
      </c>
      <c r="V12" s="272">
        <v>0.6</v>
      </c>
      <c r="W12" s="242">
        <v>1.3</v>
      </c>
      <c r="X12" s="191"/>
      <c r="Y12" s="273">
        <v>51.96</v>
      </c>
      <c r="Z12" s="274">
        <v>0.85</v>
      </c>
      <c r="AA12" s="274">
        <v>0.87</v>
      </c>
      <c r="AB12" s="274">
        <v>1</v>
      </c>
      <c r="AC12" s="276">
        <v>7222.2222222222226</v>
      </c>
      <c r="AD12" s="276">
        <v>833.33</v>
      </c>
      <c r="AE12" s="276">
        <v>833.33</v>
      </c>
      <c r="AF12" s="213">
        <v>0.75</v>
      </c>
      <c r="AG12" s="277" t="s">
        <v>304</v>
      </c>
      <c r="AH12" s="239"/>
      <c r="AI12" s="273">
        <v>30</v>
      </c>
      <c r="AJ12" s="275">
        <v>108</v>
      </c>
      <c r="AK12" s="275">
        <v>0.03</v>
      </c>
      <c r="AL12" s="275">
        <v>108</v>
      </c>
      <c r="AM12" s="275">
        <v>0</v>
      </c>
      <c r="AN12" s="275">
        <v>30</v>
      </c>
      <c r="AO12" s="275">
        <v>0</v>
      </c>
      <c r="AP12" s="275">
        <v>30</v>
      </c>
      <c r="AQ12" s="214">
        <v>0.66061880926835759</v>
      </c>
      <c r="AR12" s="1">
        <v>37.369999999999997</v>
      </c>
      <c r="AS12" s="211">
        <v>37.619999999999997</v>
      </c>
      <c r="AT12" s="212">
        <v>37.67</v>
      </c>
      <c r="AU12" s="212">
        <v>37.68</v>
      </c>
      <c r="AV12" s="212"/>
      <c r="AW12" s="215"/>
      <c r="AX12" s="214"/>
      <c r="AY12" s="152"/>
      <c r="AZ12" s="322">
        <f t="shared" si="0"/>
        <v>8.9381190731642413E-2</v>
      </c>
      <c r="BA12" s="313"/>
      <c r="BB12" s="314"/>
      <c r="BC12" s="314"/>
      <c r="BD12" s="314"/>
      <c r="BE12" s="314"/>
      <c r="BF12" s="314"/>
      <c r="BG12" s="314"/>
      <c r="BH12" s="314"/>
      <c r="BI12" s="315"/>
    </row>
    <row r="13" spans="1:61" s="1" customFormat="1" ht="20.05" customHeight="1" x14ac:dyDescent="0.6">
      <c r="B13" s="301" t="s">
        <v>24</v>
      </c>
      <c r="C13" s="298"/>
      <c r="D13" s="302" t="s">
        <v>113</v>
      </c>
      <c r="E13" s="300"/>
      <c r="F13" s="152"/>
      <c r="G13" s="254" t="s">
        <v>52</v>
      </c>
      <c r="H13" s="255" t="s">
        <v>39</v>
      </c>
      <c r="I13" s="254" t="s">
        <v>136</v>
      </c>
      <c r="J13" s="255">
        <v>12</v>
      </c>
      <c r="K13" s="255">
        <v>0.6</v>
      </c>
      <c r="L13" s="256">
        <v>0.6</v>
      </c>
      <c r="M13" s="257">
        <v>2600</v>
      </c>
      <c r="N13" s="257">
        <v>30</v>
      </c>
      <c r="O13" s="258">
        <v>30</v>
      </c>
      <c r="P13" s="259" t="s">
        <v>170</v>
      </c>
      <c r="Q13" s="257">
        <f>VLOOKUP(P13,'Listen und Kennwerte'!$B$4:$O$11,2,FALSE)</f>
        <v>28</v>
      </c>
      <c r="R13" s="257">
        <f>VLOOKUP(P13,'Listen und Kennwerte'!$B$4:$O$11,2,FALSE)</f>
        <v>28</v>
      </c>
      <c r="S13" s="260">
        <f>VLOOKUP(P13,'Listen und Kennwerte'!$B$4:$O$11,8,FALSE)</f>
        <v>12600</v>
      </c>
      <c r="T13" s="260">
        <f>VLOOKUP(P13,'Listen und Kennwerte'!$B$4:$O$11,9,FALSE)</f>
        <v>10500</v>
      </c>
      <c r="U13" s="260">
        <f>VLOOKUP(P13,'Listen und Kennwerte'!$B$4:$O$11,12,FALSE)</f>
        <v>540</v>
      </c>
      <c r="V13" s="261">
        <v>0.6</v>
      </c>
      <c r="W13" s="256">
        <v>1.3</v>
      </c>
      <c r="X13" s="191"/>
      <c r="Y13" s="262">
        <v>69.28</v>
      </c>
      <c r="Z13" s="263">
        <v>1.1399999999999999</v>
      </c>
      <c r="AA13" s="263">
        <v>0.65</v>
      </c>
      <c r="AB13" s="263">
        <v>1</v>
      </c>
      <c r="AC13" s="265">
        <v>7222.2222222222226</v>
      </c>
      <c r="AD13" s="265">
        <v>833.33</v>
      </c>
      <c r="AE13" s="265">
        <v>833.33</v>
      </c>
      <c r="AF13" s="208">
        <v>0.97</v>
      </c>
      <c r="AG13" s="266" t="s">
        <v>304</v>
      </c>
      <c r="AH13" s="239"/>
      <c r="AI13" s="262">
        <v>40</v>
      </c>
      <c r="AJ13" s="264">
        <v>134</v>
      </c>
      <c r="AK13" s="264">
        <v>0.04</v>
      </c>
      <c r="AL13" s="264">
        <v>134</v>
      </c>
      <c r="AM13" s="264">
        <v>0</v>
      </c>
      <c r="AN13" s="264">
        <v>30</v>
      </c>
      <c r="AO13" s="264">
        <v>0</v>
      </c>
      <c r="AP13" s="264">
        <v>30</v>
      </c>
      <c r="AQ13" s="209">
        <v>0.833692142601691</v>
      </c>
      <c r="AR13" s="1">
        <v>44.81</v>
      </c>
      <c r="AS13" s="206">
        <v>46.24</v>
      </c>
      <c r="AT13" s="207">
        <v>46.76</v>
      </c>
      <c r="AU13" s="207">
        <v>46.95</v>
      </c>
      <c r="AV13" s="207"/>
      <c r="AW13" s="210"/>
      <c r="AX13" s="209"/>
      <c r="AY13" s="152"/>
      <c r="AZ13" s="322">
        <f t="shared" si="0"/>
        <v>0.13630785739830897</v>
      </c>
      <c r="BA13" s="313"/>
      <c r="BB13" s="314"/>
      <c r="BC13" s="314"/>
      <c r="BD13" s="314"/>
      <c r="BE13" s="314"/>
      <c r="BF13" s="314"/>
      <c r="BG13" s="314"/>
      <c r="BH13" s="314"/>
      <c r="BI13" s="315"/>
    </row>
    <row r="14" spans="1:61" s="1" customFormat="1" ht="20.05" customHeight="1" x14ac:dyDescent="0.6">
      <c r="B14" s="297"/>
      <c r="C14" s="298"/>
      <c r="D14" s="299"/>
      <c r="E14" s="300"/>
      <c r="F14" s="152"/>
      <c r="G14" s="267" t="s">
        <v>53</v>
      </c>
      <c r="H14" s="241" t="s">
        <v>39</v>
      </c>
      <c r="I14" s="267" t="s">
        <v>136</v>
      </c>
      <c r="J14" s="241">
        <v>15</v>
      </c>
      <c r="K14" s="241">
        <v>0.6</v>
      </c>
      <c r="L14" s="242">
        <v>0.6</v>
      </c>
      <c r="M14" s="268">
        <v>2600</v>
      </c>
      <c r="N14" s="268">
        <v>30</v>
      </c>
      <c r="O14" s="269">
        <v>30</v>
      </c>
      <c r="P14" s="270" t="s">
        <v>170</v>
      </c>
      <c r="Q14" s="268">
        <f>VLOOKUP(P14,'Listen und Kennwerte'!$B$4:$O$11,2,FALSE)</f>
        <v>28</v>
      </c>
      <c r="R14" s="268">
        <f>VLOOKUP(P14,'Listen und Kennwerte'!$B$4:$O$11,2,FALSE)</f>
        <v>28</v>
      </c>
      <c r="S14" s="271">
        <f>VLOOKUP(P14,'Listen und Kennwerte'!$B$4:$O$11,8,FALSE)</f>
        <v>12600</v>
      </c>
      <c r="T14" s="271">
        <f>VLOOKUP(P14,'Listen und Kennwerte'!$B$4:$O$11,9,FALSE)</f>
        <v>10500</v>
      </c>
      <c r="U14" s="271">
        <f>VLOOKUP(P14,'Listen und Kennwerte'!$B$4:$O$11,12,FALSE)</f>
        <v>540</v>
      </c>
      <c r="V14" s="272">
        <v>0.6</v>
      </c>
      <c r="W14" s="242">
        <v>1.3</v>
      </c>
      <c r="X14" s="191"/>
      <c r="Y14" s="273">
        <v>86.6</v>
      </c>
      <c r="Z14" s="274">
        <v>1.42</v>
      </c>
      <c r="AA14" s="274">
        <v>0.45</v>
      </c>
      <c r="AB14" s="274">
        <v>1</v>
      </c>
      <c r="AC14" s="276">
        <v>7222.2222222222226</v>
      </c>
      <c r="AD14" s="276">
        <v>833.33</v>
      </c>
      <c r="AE14" s="276">
        <v>833.33</v>
      </c>
      <c r="AF14" s="213">
        <v>1.35</v>
      </c>
      <c r="AG14" s="277" t="s">
        <v>304</v>
      </c>
      <c r="AH14" s="239"/>
      <c r="AI14" s="273">
        <v>40</v>
      </c>
      <c r="AJ14" s="275">
        <v>134</v>
      </c>
      <c r="AK14" s="275">
        <v>0.04</v>
      </c>
      <c r="AL14" s="275">
        <v>134</v>
      </c>
      <c r="AM14" s="275">
        <v>0</v>
      </c>
      <c r="AN14" s="275">
        <v>30</v>
      </c>
      <c r="AO14" s="275">
        <v>0</v>
      </c>
      <c r="AP14" s="275">
        <v>30</v>
      </c>
      <c r="AQ14" s="214">
        <v>1.0551627735540721</v>
      </c>
      <c r="AR14" s="1">
        <v>56.61</v>
      </c>
      <c r="AS14" s="211">
        <v>62.06</v>
      </c>
      <c r="AT14" s="212">
        <v>65.150000000000006</v>
      </c>
      <c r="AU14" s="212">
        <v>66.900000000000006</v>
      </c>
      <c r="AV14" s="212"/>
      <c r="AW14" s="215"/>
      <c r="AX14" s="214"/>
      <c r="AY14" s="152"/>
      <c r="AZ14" s="322">
        <f t="shared" si="0"/>
        <v>0.29483722644592802</v>
      </c>
      <c r="BA14" s="313"/>
      <c r="BB14" s="314"/>
      <c r="BC14" s="314"/>
      <c r="BD14" s="314"/>
      <c r="BE14" s="314"/>
      <c r="BF14" s="314"/>
      <c r="BG14" s="314"/>
      <c r="BH14" s="314"/>
      <c r="BI14" s="315"/>
    </row>
    <row r="15" spans="1:61" s="1" customFormat="1" ht="20.05" customHeight="1" x14ac:dyDescent="0.6">
      <c r="B15" s="297" t="s">
        <v>296</v>
      </c>
      <c r="C15" s="298"/>
      <c r="D15" s="299"/>
      <c r="E15" s="300"/>
      <c r="F15" s="152"/>
      <c r="G15" s="254" t="s">
        <v>54</v>
      </c>
      <c r="H15" s="255" t="s">
        <v>39</v>
      </c>
      <c r="I15" s="254" t="s">
        <v>136</v>
      </c>
      <c r="J15" s="255">
        <v>18</v>
      </c>
      <c r="K15" s="255">
        <v>0.6</v>
      </c>
      <c r="L15" s="256">
        <v>0.6</v>
      </c>
      <c r="M15" s="257">
        <v>2600</v>
      </c>
      <c r="N15" s="257">
        <v>30</v>
      </c>
      <c r="O15" s="258">
        <v>30</v>
      </c>
      <c r="P15" s="259" t="s">
        <v>170</v>
      </c>
      <c r="Q15" s="257">
        <f>VLOOKUP(P15,'Listen und Kennwerte'!$B$4:$O$11,2,FALSE)</f>
        <v>28</v>
      </c>
      <c r="R15" s="257">
        <f>VLOOKUP(P15,'Listen und Kennwerte'!$B$4:$O$11,2,FALSE)</f>
        <v>28</v>
      </c>
      <c r="S15" s="260">
        <f>VLOOKUP(P15,'Listen und Kennwerte'!$B$4:$O$11,8,FALSE)</f>
        <v>12600</v>
      </c>
      <c r="T15" s="260">
        <f>VLOOKUP(P15,'Listen und Kennwerte'!$B$4:$O$11,9,FALSE)</f>
        <v>10500</v>
      </c>
      <c r="U15" s="260">
        <f>VLOOKUP(P15,'Listen und Kennwerte'!$B$4:$O$11,12,FALSE)</f>
        <v>540</v>
      </c>
      <c r="V15" s="261">
        <v>0.6</v>
      </c>
      <c r="W15" s="256">
        <v>1.3</v>
      </c>
      <c r="X15" s="191"/>
      <c r="Y15" s="262">
        <v>103.92</v>
      </c>
      <c r="Z15" s="263">
        <v>1.71</v>
      </c>
      <c r="AA15" s="263">
        <v>0.32</v>
      </c>
      <c r="AB15" s="263">
        <v>1</v>
      </c>
      <c r="AC15" s="265">
        <v>7222.2222222222226</v>
      </c>
      <c r="AD15" s="265">
        <v>833.33</v>
      </c>
      <c r="AE15" s="265">
        <v>833.33</v>
      </c>
      <c r="AF15" s="208">
        <v>1.86</v>
      </c>
      <c r="AG15" s="266" t="s">
        <v>304</v>
      </c>
      <c r="AH15" s="239"/>
      <c r="AI15" s="262">
        <v>50</v>
      </c>
      <c r="AJ15" s="264">
        <v>160</v>
      </c>
      <c r="AK15" s="264">
        <v>0.05</v>
      </c>
      <c r="AL15" s="264">
        <v>160</v>
      </c>
      <c r="AM15" s="264">
        <v>0</v>
      </c>
      <c r="AN15" s="264">
        <v>30</v>
      </c>
      <c r="AO15" s="264">
        <v>0</v>
      </c>
      <c r="AP15" s="264">
        <v>30</v>
      </c>
      <c r="AQ15" s="209">
        <v>1.8003859937921671</v>
      </c>
      <c r="AR15" s="1">
        <v>74.400000000000006</v>
      </c>
      <c r="AS15" s="206">
        <v>90.66</v>
      </c>
      <c r="AT15" s="207">
        <v>103.92</v>
      </c>
      <c r="AU15" s="207">
        <v>114.73</v>
      </c>
      <c r="AV15" s="207"/>
      <c r="AW15" s="210"/>
      <c r="AX15" s="209"/>
      <c r="AY15" s="152"/>
      <c r="AZ15" s="322">
        <f t="shared" si="0"/>
        <v>5.961400620783297E-2</v>
      </c>
      <c r="BA15" s="313"/>
      <c r="BB15" s="314"/>
      <c r="BC15" s="314"/>
      <c r="BD15" s="314"/>
      <c r="BE15" s="314"/>
      <c r="BF15" s="314"/>
      <c r="BG15" s="314"/>
      <c r="BH15" s="314"/>
      <c r="BI15" s="315"/>
    </row>
    <row r="16" spans="1:61" s="1" customFormat="1" ht="20.05" customHeight="1" x14ac:dyDescent="0.6">
      <c r="B16" s="303" t="s">
        <v>287</v>
      </c>
      <c r="C16" s="298"/>
      <c r="D16" s="299"/>
      <c r="E16" s="300"/>
      <c r="F16" s="152"/>
      <c r="G16" s="267" t="s">
        <v>56</v>
      </c>
      <c r="H16" s="241" t="s">
        <v>39</v>
      </c>
      <c r="I16" s="267" t="s">
        <v>136</v>
      </c>
      <c r="J16" s="241">
        <v>21</v>
      </c>
      <c r="K16" s="241">
        <v>0.6</v>
      </c>
      <c r="L16" s="242">
        <v>0.6</v>
      </c>
      <c r="M16" s="268">
        <v>2600</v>
      </c>
      <c r="N16" s="268">
        <v>30</v>
      </c>
      <c r="O16" s="269">
        <v>30</v>
      </c>
      <c r="P16" s="270" t="s">
        <v>170</v>
      </c>
      <c r="Q16" s="268">
        <f>VLOOKUP(P16,'Listen und Kennwerte'!$B$4:$O$11,2,FALSE)</f>
        <v>28</v>
      </c>
      <c r="R16" s="268">
        <f>VLOOKUP(P16,'Listen und Kennwerte'!$B$4:$O$11,2,FALSE)</f>
        <v>28</v>
      </c>
      <c r="S16" s="271">
        <f>VLOOKUP(P16,'Listen und Kennwerte'!$B$4:$O$11,8,FALSE)</f>
        <v>12600</v>
      </c>
      <c r="T16" s="271">
        <f>VLOOKUP(P16,'Listen und Kennwerte'!$B$4:$O$11,9,FALSE)</f>
        <v>10500</v>
      </c>
      <c r="U16" s="271">
        <f>VLOOKUP(P16,'Listen und Kennwerte'!$B$4:$O$11,12,FALSE)</f>
        <v>540</v>
      </c>
      <c r="V16" s="272">
        <v>0.6</v>
      </c>
      <c r="W16" s="242">
        <v>1.3</v>
      </c>
      <c r="X16" s="191"/>
      <c r="Y16" s="273">
        <v>121.24</v>
      </c>
      <c r="Z16" s="274">
        <v>1.99</v>
      </c>
      <c r="AA16" s="274">
        <v>0.24</v>
      </c>
      <c r="AB16" s="274">
        <v>1</v>
      </c>
      <c r="AC16" s="276">
        <v>7222.2222222222226</v>
      </c>
      <c r="AD16" s="276">
        <v>833.33</v>
      </c>
      <c r="AE16" s="276">
        <v>833.33</v>
      </c>
      <c r="AF16" s="213">
        <v>2.44</v>
      </c>
      <c r="AG16" s="277" t="s">
        <v>304</v>
      </c>
      <c r="AH16" s="239"/>
      <c r="AI16" s="273">
        <v>50</v>
      </c>
      <c r="AJ16" s="275">
        <v>160</v>
      </c>
      <c r="AK16" s="275">
        <v>0.05</v>
      </c>
      <c r="AL16" s="275">
        <v>160</v>
      </c>
      <c r="AM16" s="275">
        <v>0</v>
      </c>
      <c r="AN16" s="275">
        <v>30</v>
      </c>
      <c r="AO16" s="275">
        <v>0</v>
      </c>
      <c r="AP16" s="275">
        <v>30</v>
      </c>
      <c r="AQ16" s="214">
        <v>3.3895917318874051</v>
      </c>
      <c r="AR16" s="1">
        <v>100.26</v>
      </c>
      <c r="AS16" s="211">
        <v>141.28</v>
      </c>
      <c r="AT16" s="212">
        <v>186.81</v>
      </c>
      <c r="AU16" s="212">
        <v>237.34</v>
      </c>
      <c r="AV16" s="212"/>
      <c r="AW16" s="215"/>
      <c r="AX16" s="214"/>
      <c r="AY16" s="152"/>
      <c r="AZ16" s="322">
        <f t="shared" si="0"/>
        <v>-0.9495917318874052</v>
      </c>
      <c r="BA16" s="313"/>
      <c r="BB16" s="314"/>
      <c r="BC16" s="314"/>
      <c r="BD16" s="314"/>
      <c r="BE16" s="314"/>
      <c r="BF16" s="314"/>
      <c r="BG16" s="314"/>
      <c r="BH16" s="314"/>
      <c r="BI16" s="315"/>
    </row>
    <row r="17" spans="2:61" s="1" customFormat="1" ht="20.05" customHeight="1" x14ac:dyDescent="0.6">
      <c r="B17" s="303" t="s">
        <v>301</v>
      </c>
      <c r="C17" s="298"/>
      <c r="D17" s="302" t="s">
        <v>303</v>
      </c>
      <c r="E17" s="300"/>
      <c r="F17" s="152"/>
      <c r="G17" s="254" t="s">
        <v>57</v>
      </c>
      <c r="H17" s="255" t="s">
        <v>39</v>
      </c>
      <c r="I17" s="254" t="s">
        <v>136</v>
      </c>
      <c r="J17" s="255">
        <v>24</v>
      </c>
      <c r="K17" s="255">
        <v>0.6</v>
      </c>
      <c r="L17" s="256">
        <v>0.6</v>
      </c>
      <c r="M17" s="257">
        <v>2600</v>
      </c>
      <c r="N17" s="257">
        <v>30</v>
      </c>
      <c r="O17" s="258">
        <v>30</v>
      </c>
      <c r="P17" s="259" t="s">
        <v>170</v>
      </c>
      <c r="Q17" s="257">
        <f>VLOOKUP(P17,'Listen und Kennwerte'!$B$4:$O$11,2,FALSE)</f>
        <v>28</v>
      </c>
      <c r="R17" s="257">
        <f>VLOOKUP(P17,'Listen und Kennwerte'!$B$4:$O$11,2,FALSE)</f>
        <v>28</v>
      </c>
      <c r="S17" s="260">
        <f>VLOOKUP(P17,'Listen und Kennwerte'!$B$4:$O$11,8,FALSE)</f>
        <v>12600</v>
      </c>
      <c r="T17" s="260">
        <f>VLOOKUP(P17,'Listen und Kennwerte'!$B$4:$O$11,9,FALSE)</f>
        <v>10500</v>
      </c>
      <c r="U17" s="260">
        <f>VLOOKUP(P17,'Listen und Kennwerte'!$B$4:$O$11,12,FALSE)</f>
        <v>540</v>
      </c>
      <c r="V17" s="261">
        <v>0.6</v>
      </c>
      <c r="W17" s="256">
        <v>1.3</v>
      </c>
      <c r="X17" s="230"/>
      <c r="Y17" s="262">
        <v>138.56</v>
      </c>
      <c r="Z17" s="263">
        <v>2.2799999999999998</v>
      </c>
      <c r="AA17" s="263">
        <v>0.18</v>
      </c>
      <c r="AB17" s="263">
        <v>1</v>
      </c>
      <c r="AC17" s="265">
        <v>7222.2222222222226</v>
      </c>
      <c r="AD17" s="265">
        <v>833.33</v>
      </c>
      <c r="AE17" s="265">
        <v>833.33</v>
      </c>
      <c r="AF17" s="208">
        <v>3.21</v>
      </c>
      <c r="AG17" s="266" t="s">
        <v>304</v>
      </c>
      <c r="AH17" s="239"/>
      <c r="AI17" s="262">
        <v>50</v>
      </c>
      <c r="AJ17" s="264">
        <v>160</v>
      </c>
      <c r="AK17" s="264">
        <v>0.05</v>
      </c>
      <c r="AL17" s="264">
        <v>160</v>
      </c>
      <c r="AM17" s="264">
        <v>0</v>
      </c>
      <c r="AN17" s="264">
        <v>30</v>
      </c>
      <c r="AO17" s="264">
        <v>0</v>
      </c>
      <c r="AP17" s="264">
        <v>30</v>
      </c>
      <c r="AQ17" s="209">
        <v>7.4758389402207399</v>
      </c>
      <c r="AR17" s="1">
        <v>136.53</v>
      </c>
      <c r="AS17" s="206">
        <v>227.91</v>
      </c>
      <c r="AT17" s="207">
        <v>360.37</v>
      </c>
      <c r="AU17" s="207">
        <v>552.38</v>
      </c>
      <c r="AV17" s="207"/>
      <c r="AW17" s="210"/>
      <c r="AX17" s="209"/>
      <c r="AY17" s="152"/>
      <c r="AZ17" s="322">
        <f t="shared" si="0"/>
        <v>-4.2658389402207399</v>
      </c>
      <c r="BA17" s="313"/>
      <c r="BB17" s="314"/>
      <c r="BC17" s="314"/>
      <c r="BD17" s="314"/>
      <c r="BE17" s="314"/>
      <c r="BF17" s="314"/>
      <c r="BG17" s="314"/>
      <c r="BH17" s="314"/>
      <c r="BI17" s="315"/>
    </row>
    <row r="18" spans="2:61" s="1" customFormat="1" ht="20.05" customHeight="1" x14ac:dyDescent="0.6">
      <c r="B18" s="303"/>
      <c r="C18" s="298"/>
      <c r="D18" s="298"/>
      <c r="E18" s="300"/>
      <c r="F18" s="152"/>
      <c r="G18" s="267" t="s">
        <v>58</v>
      </c>
      <c r="H18" s="241" t="s">
        <v>39</v>
      </c>
      <c r="I18" s="267" t="s">
        <v>136</v>
      </c>
      <c r="J18" s="241">
        <v>27</v>
      </c>
      <c r="K18" s="241">
        <v>0.6</v>
      </c>
      <c r="L18" s="242">
        <v>0.6</v>
      </c>
      <c r="M18" s="268">
        <v>2600</v>
      </c>
      <c r="N18" s="268">
        <v>30</v>
      </c>
      <c r="O18" s="269">
        <v>30</v>
      </c>
      <c r="P18" s="270" t="s">
        <v>170</v>
      </c>
      <c r="Q18" s="268">
        <f>VLOOKUP(P18,'Listen und Kennwerte'!$B$4:$O$11,2,FALSE)</f>
        <v>28</v>
      </c>
      <c r="R18" s="268">
        <f>VLOOKUP(P18,'Listen und Kennwerte'!$B$4:$O$11,2,FALSE)</f>
        <v>28</v>
      </c>
      <c r="S18" s="271">
        <f>VLOOKUP(P18,'Listen und Kennwerte'!$B$4:$O$11,8,FALSE)</f>
        <v>12600</v>
      </c>
      <c r="T18" s="271">
        <f>VLOOKUP(P18,'Listen und Kennwerte'!$B$4:$O$11,9,FALSE)</f>
        <v>10500</v>
      </c>
      <c r="U18" s="271">
        <f>VLOOKUP(P18,'Listen und Kennwerte'!$B$4:$O$11,12,FALSE)</f>
        <v>540</v>
      </c>
      <c r="V18" s="272">
        <v>0.6</v>
      </c>
      <c r="W18" s="242">
        <v>1.3</v>
      </c>
      <c r="X18" s="230"/>
      <c r="Y18" s="273">
        <v>155.88</v>
      </c>
      <c r="Z18" s="274">
        <v>2.56</v>
      </c>
      <c r="AA18" s="274">
        <v>0.15</v>
      </c>
      <c r="AB18" s="274">
        <v>1</v>
      </c>
      <c r="AC18" s="276">
        <v>7222.2222222222226</v>
      </c>
      <c r="AD18" s="276">
        <v>833.33</v>
      </c>
      <c r="AE18" s="276">
        <v>833.33</v>
      </c>
      <c r="AF18" s="213">
        <v>3.84</v>
      </c>
      <c r="AG18" s="277" t="s">
        <v>304</v>
      </c>
      <c r="AH18" s="239"/>
      <c r="AI18" s="273">
        <v>60</v>
      </c>
      <c r="AJ18" s="275">
        <v>186</v>
      </c>
      <c r="AK18" s="275">
        <v>0.06</v>
      </c>
      <c r="AL18" s="275">
        <v>186</v>
      </c>
      <c r="AM18" s="275">
        <v>0</v>
      </c>
      <c r="AN18" s="275">
        <v>30</v>
      </c>
      <c r="AO18" s="275">
        <v>0</v>
      </c>
      <c r="AP18" s="275">
        <v>30</v>
      </c>
      <c r="AQ18" s="214">
        <v>20.107544219982646</v>
      </c>
      <c r="AR18" s="1">
        <v>186.02</v>
      </c>
      <c r="AS18" s="211">
        <v>371.28</v>
      </c>
      <c r="AT18" s="212">
        <v>711.16</v>
      </c>
      <c r="AU18" s="212">
        <v>1334.72</v>
      </c>
      <c r="AV18" s="212"/>
      <c r="AW18" s="215"/>
      <c r="AX18" s="214"/>
      <c r="AY18" s="216"/>
      <c r="AZ18" s="322">
        <f t="shared" si="0"/>
        <v>-16.267544219982646</v>
      </c>
      <c r="BA18" s="313"/>
      <c r="BB18" s="314"/>
      <c r="BC18" s="314"/>
      <c r="BD18" s="314"/>
      <c r="BE18" s="314"/>
      <c r="BF18" s="314"/>
      <c r="BG18" s="314"/>
      <c r="BH18" s="314"/>
      <c r="BI18" s="315"/>
    </row>
    <row r="19" spans="2:61" s="1" customFormat="1" ht="20.05" customHeight="1" x14ac:dyDescent="0.6">
      <c r="B19" s="303" t="s">
        <v>297</v>
      </c>
      <c r="C19" s="298"/>
      <c r="D19" s="298"/>
      <c r="E19" s="300"/>
      <c r="G19" s="278" t="s">
        <v>59</v>
      </c>
      <c r="H19" s="279" t="s">
        <v>39</v>
      </c>
      <c r="I19" s="278" t="s">
        <v>136</v>
      </c>
      <c r="J19" s="279">
        <v>30</v>
      </c>
      <c r="K19" s="279">
        <v>0.6</v>
      </c>
      <c r="L19" s="280">
        <v>0.6</v>
      </c>
      <c r="M19" s="281">
        <v>2600</v>
      </c>
      <c r="N19" s="281">
        <v>30</v>
      </c>
      <c r="O19" s="282">
        <v>30</v>
      </c>
      <c r="P19" s="283" t="s">
        <v>170</v>
      </c>
      <c r="Q19" s="281">
        <f>VLOOKUP(P19,'Listen und Kennwerte'!$B$4:$O$11,2,FALSE)</f>
        <v>28</v>
      </c>
      <c r="R19" s="281">
        <f>VLOOKUP(P19,'Listen und Kennwerte'!$B$4:$O$11,2,FALSE)</f>
        <v>28</v>
      </c>
      <c r="S19" s="284">
        <f>VLOOKUP(P19,'Listen und Kennwerte'!$B$4:$O$11,8,FALSE)</f>
        <v>12600</v>
      </c>
      <c r="T19" s="284">
        <f>VLOOKUP(P19,'Listen und Kennwerte'!$B$4:$O$11,9,FALSE)</f>
        <v>10500</v>
      </c>
      <c r="U19" s="284">
        <f>VLOOKUP(P19,'Listen und Kennwerte'!$B$4:$O$11,12,FALSE)</f>
        <v>540</v>
      </c>
      <c r="V19" s="285">
        <v>0.6</v>
      </c>
      <c r="W19" s="280">
        <v>1.3</v>
      </c>
      <c r="X19" s="230"/>
      <c r="Y19" s="286">
        <v>173.21</v>
      </c>
      <c r="Z19" s="287">
        <v>2.85</v>
      </c>
      <c r="AA19" s="287">
        <v>0.12</v>
      </c>
      <c r="AB19" s="287">
        <v>1</v>
      </c>
      <c r="AC19" s="289">
        <v>7222.2222222222226</v>
      </c>
      <c r="AD19" s="289">
        <v>833.33</v>
      </c>
      <c r="AE19" s="289">
        <v>833.33</v>
      </c>
      <c r="AF19" s="217">
        <v>4.7699999999999996</v>
      </c>
      <c r="AG19" s="290" t="s">
        <v>304</v>
      </c>
      <c r="AH19" s="239"/>
      <c r="AI19" s="286">
        <v>60</v>
      </c>
      <c r="AJ19" s="288">
        <v>186</v>
      </c>
      <c r="AK19" s="288">
        <v>0.06</v>
      </c>
      <c r="AL19" s="288">
        <v>186</v>
      </c>
      <c r="AM19" s="288">
        <v>0</v>
      </c>
      <c r="AN19" s="288">
        <v>30</v>
      </c>
      <c r="AO19" s="288">
        <v>0</v>
      </c>
      <c r="AP19" s="288">
        <v>30</v>
      </c>
      <c r="AQ19" s="218">
        <v>47.451756214030262</v>
      </c>
      <c r="AR19" s="1">
        <v>251.86</v>
      </c>
      <c r="AS19" s="206">
        <v>600.46</v>
      </c>
      <c r="AT19" s="207">
        <v>1390.03</v>
      </c>
      <c r="AU19" s="207">
        <v>3178.39</v>
      </c>
      <c r="AV19" s="207"/>
      <c r="AW19" s="210"/>
      <c r="AX19" s="209"/>
      <c r="AY19" s="216"/>
      <c r="AZ19" s="322">
        <f t="shared" si="0"/>
        <v>-42.681756214030258</v>
      </c>
      <c r="BA19" s="316"/>
      <c r="BB19" s="317"/>
      <c r="BC19" s="317"/>
      <c r="BD19" s="317"/>
      <c r="BE19" s="317"/>
      <c r="BF19" s="317"/>
      <c r="BG19" s="317"/>
      <c r="BH19" s="317"/>
      <c r="BI19" s="318"/>
    </row>
    <row r="20" spans="2:61" s="1" customFormat="1" ht="20.05" customHeight="1" x14ac:dyDescent="0.6">
      <c r="B20" s="303" t="s">
        <v>301</v>
      </c>
      <c r="C20" s="298"/>
      <c r="D20" s="302" t="s">
        <v>302</v>
      </c>
      <c r="E20" s="300"/>
      <c r="G20" s="240" t="s">
        <v>45</v>
      </c>
      <c r="H20" s="291" t="s">
        <v>39</v>
      </c>
      <c r="I20" s="240" t="s">
        <v>136</v>
      </c>
      <c r="J20" s="241">
        <v>1</v>
      </c>
      <c r="K20" s="241">
        <v>0.6</v>
      </c>
      <c r="L20" s="242">
        <v>0.6</v>
      </c>
      <c r="M20" s="243">
        <v>1000</v>
      </c>
      <c r="N20" s="243">
        <v>30</v>
      </c>
      <c r="O20" s="244">
        <v>30</v>
      </c>
      <c r="P20" s="245" t="s">
        <v>170</v>
      </c>
      <c r="Q20" s="243">
        <f>VLOOKUP(P20,'Listen und Kennwerte'!$B$4:$O$11,2,FALSE)</f>
        <v>28</v>
      </c>
      <c r="R20" s="243">
        <f>VLOOKUP(P20,'Listen und Kennwerte'!$B$4:$O$11,2,FALSE)</f>
        <v>28</v>
      </c>
      <c r="S20" s="246">
        <f>VLOOKUP(P20,'Listen und Kennwerte'!$B$4:$O$11,8,FALSE)</f>
        <v>12600</v>
      </c>
      <c r="T20" s="246">
        <f>VLOOKUP(P20,'Listen und Kennwerte'!$B$4:$O$11,9,FALSE)</f>
        <v>10500</v>
      </c>
      <c r="U20" s="246">
        <f>VLOOKUP(P20,'Listen und Kennwerte'!$B$4:$O$11,12,FALSE)</f>
        <v>540</v>
      </c>
      <c r="V20" s="247">
        <v>0.6</v>
      </c>
      <c r="W20" s="248">
        <v>1.3</v>
      </c>
      <c r="X20" s="230"/>
      <c r="Y20" s="273">
        <v>5.77</v>
      </c>
      <c r="Z20" s="274">
        <v>0.09</v>
      </c>
      <c r="AA20" s="274">
        <v>1.02</v>
      </c>
      <c r="AB20" s="274">
        <v>1</v>
      </c>
      <c r="AC20" s="276">
        <v>2777.7777777777778</v>
      </c>
      <c r="AD20" s="276">
        <v>833.33</v>
      </c>
      <c r="AE20" s="276">
        <v>833.33</v>
      </c>
      <c r="AF20" s="213">
        <v>0.16</v>
      </c>
      <c r="AG20" s="277" t="s">
        <v>305</v>
      </c>
      <c r="AH20" s="239"/>
      <c r="AI20" s="273">
        <v>10</v>
      </c>
      <c r="AJ20" s="275">
        <v>40</v>
      </c>
      <c r="AK20" s="275">
        <v>0.01</v>
      </c>
      <c r="AL20" s="275">
        <v>40</v>
      </c>
      <c r="AM20" s="275">
        <v>0</v>
      </c>
      <c r="AN20" s="275">
        <v>30</v>
      </c>
      <c r="AO20" s="275">
        <v>0</v>
      </c>
      <c r="AP20" s="275">
        <v>30</v>
      </c>
      <c r="AQ20" s="214">
        <v>0.1774511026671986</v>
      </c>
      <c r="AR20" s="1">
        <v>30.03</v>
      </c>
      <c r="AS20" s="211">
        <v>30.03</v>
      </c>
      <c r="AT20" s="212">
        <v>30.03</v>
      </c>
      <c r="AU20" s="212">
        <v>30.03</v>
      </c>
      <c r="AV20" s="212"/>
      <c r="AW20" s="215"/>
      <c r="AX20" s="214"/>
      <c r="AY20" s="216"/>
      <c r="AZ20" s="322">
        <f t="shared" si="0"/>
        <v>-1.7451102667198598E-2</v>
      </c>
      <c r="BA20" s="319"/>
      <c r="BB20" s="320"/>
      <c r="BC20" s="320"/>
      <c r="BD20" s="320"/>
      <c r="BE20" s="320"/>
      <c r="BF20" s="320"/>
      <c r="BG20" s="320"/>
      <c r="BH20" s="320"/>
      <c r="BI20" s="321"/>
    </row>
    <row r="21" spans="2:61" s="1" customFormat="1" ht="20.05" customHeight="1" x14ac:dyDescent="0.6">
      <c r="B21" s="303"/>
      <c r="C21" s="298"/>
      <c r="D21" s="299"/>
      <c r="E21" s="300"/>
      <c r="G21" s="254" t="s">
        <v>50</v>
      </c>
      <c r="H21" s="255" t="s">
        <v>39</v>
      </c>
      <c r="I21" s="254" t="s">
        <v>136</v>
      </c>
      <c r="J21" s="255">
        <v>2</v>
      </c>
      <c r="K21" s="255">
        <v>0.6</v>
      </c>
      <c r="L21" s="256">
        <v>0.6</v>
      </c>
      <c r="M21" s="257">
        <v>2600</v>
      </c>
      <c r="N21" s="257">
        <v>30</v>
      </c>
      <c r="O21" s="258">
        <v>30</v>
      </c>
      <c r="P21" s="259" t="s">
        <v>170</v>
      </c>
      <c r="Q21" s="257">
        <f>VLOOKUP(P21,'Listen und Kennwerte'!$B$4:$O$11,2,FALSE)</f>
        <v>28</v>
      </c>
      <c r="R21" s="257">
        <f>VLOOKUP(P21,'Listen und Kennwerte'!$B$4:$O$11,2,FALSE)</f>
        <v>28</v>
      </c>
      <c r="S21" s="260">
        <f>VLOOKUP(P21,'Listen und Kennwerte'!$B$4:$O$11,8,FALSE)</f>
        <v>12600</v>
      </c>
      <c r="T21" s="260">
        <f>VLOOKUP(P21,'Listen und Kennwerte'!$B$4:$O$11,9,FALSE)</f>
        <v>10500</v>
      </c>
      <c r="U21" s="260">
        <f>VLOOKUP(P21,'Listen und Kennwerte'!$B$4:$O$11,12,FALSE)</f>
        <v>540</v>
      </c>
      <c r="V21" s="261">
        <v>0.6</v>
      </c>
      <c r="W21" s="256">
        <v>1.3</v>
      </c>
      <c r="X21" s="230"/>
      <c r="Y21" s="262">
        <v>11.55</v>
      </c>
      <c r="Z21" s="263">
        <v>0.19</v>
      </c>
      <c r="AA21" s="263">
        <v>1.01</v>
      </c>
      <c r="AB21" s="263">
        <v>1</v>
      </c>
      <c r="AC21" s="265">
        <v>7222.2222222222226</v>
      </c>
      <c r="AD21" s="265">
        <v>833.33</v>
      </c>
      <c r="AE21" s="265">
        <v>833.33</v>
      </c>
      <c r="AF21" s="208">
        <v>0.42</v>
      </c>
      <c r="AG21" s="266" t="s">
        <v>305</v>
      </c>
      <c r="AH21" s="239"/>
      <c r="AI21" s="262">
        <v>10</v>
      </c>
      <c r="AJ21" s="264">
        <v>56</v>
      </c>
      <c r="AK21" s="264">
        <v>0.01</v>
      </c>
      <c r="AL21" s="264">
        <v>56</v>
      </c>
      <c r="AM21" s="264">
        <v>0</v>
      </c>
      <c r="AN21" s="264">
        <v>30</v>
      </c>
      <c r="AO21" s="264">
        <v>0</v>
      </c>
      <c r="AP21" s="264">
        <v>30</v>
      </c>
      <c r="AQ21" s="209">
        <v>0.47951333307788147</v>
      </c>
      <c r="AR21" s="1">
        <v>30.3</v>
      </c>
      <c r="AS21" s="206">
        <v>30.3</v>
      </c>
      <c r="AT21" s="207">
        <v>30.3</v>
      </c>
      <c r="AU21" s="207">
        <v>30.3</v>
      </c>
      <c r="AV21" s="207"/>
      <c r="AW21" s="210"/>
      <c r="AX21" s="209"/>
      <c r="AY21" s="216"/>
      <c r="AZ21" s="322">
        <f t="shared" si="0"/>
        <v>-5.9513333077881481E-2</v>
      </c>
      <c r="BA21" s="313"/>
      <c r="BB21" s="314"/>
      <c r="BC21" s="314"/>
      <c r="BD21" s="314"/>
      <c r="BE21" s="314"/>
      <c r="BF21" s="314"/>
      <c r="BG21" s="314"/>
      <c r="BH21" s="314"/>
      <c r="BI21" s="315"/>
    </row>
    <row r="22" spans="2:61" s="1" customFormat="1" ht="20.05" customHeight="1" x14ac:dyDescent="0.6">
      <c r="B22" s="303"/>
      <c r="C22" s="298"/>
      <c r="D22" s="299"/>
      <c r="E22" s="300"/>
      <c r="G22" s="267" t="s">
        <v>51</v>
      </c>
      <c r="H22" s="241" t="s">
        <v>39</v>
      </c>
      <c r="I22" s="267" t="s">
        <v>136</v>
      </c>
      <c r="J22" s="241">
        <v>3</v>
      </c>
      <c r="K22" s="241">
        <v>0.6</v>
      </c>
      <c r="L22" s="242">
        <v>0.6</v>
      </c>
      <c r="M22" s="268">
        <v>2600</v>
      </c>
      <c r="N22" s="268">
        <v>30</v>
      </c>
      <c r="O22" s="269">
        <v>30</v>
      </c>
      <c r="P22" s="270" t="s">
        <v>170</v>
      </c>
      <c r="Q22" s="268">
        <f>VLOOKUP(P22,'Listen und Kennwerte'!$B$4:$O$11,2,FALSE)</f>
        <v>28</v>
      </c>
      <c r="R22" s="268">
        <f>VLOOKUP(P22,'Listen und Kennwerte'!$B$4:$O$11,2,FALSE)</f>
        <v>28</v>
      </c>
      <c r="S22" s="271">
        <f>VLOOKUP(P22,'Listen und Kennwerte'!$B$4:$O$11,8,FALSE)</f>
        <v>12600</v>
      </c>
      <c r="T22" s="271">
        <f>VLOOKUP(P22,'Listen und Kennwerte'!$B$4:$O$11,9,FALSE)</f>
        <v>10500</v>
      </c>
      <c r="U22" s="271">
        <f>VLOOKUP(P22,'Listen und Kennwerte'!$B$4:$O$11,12,FALSE)</f>
        <v>540</v>
      </c>
      <c r="V22" s="272">
        <v>0.6</v>
      </c>
      <c r="W22" s="242">
        <v>1.3</v>
      </c>
      <c r="X22" s="230"/>
      <c r="Y22" s="273">
        <v>17.32</v>
      </c>
      <c r="Z22" s="274">
        <v>0.28000000000000003</v>
      </c>
      <c r="AA22" s="274">
        <v>1</v>
      </c>
      <c r="AB22" s="274">
        <v>1</v>
      </c>
      <c r="AC22" s="276">
        <v>7222.2222222222226</v>
      </c>
      <c r="AD22" s="276">
        <v>833.33</v>
      </c>
      <c r="AE22" s="276">
        <v>833.33</v>
      </c>
      <c r="AF22" s="213">
        <v>0.42</v>
      </c>
      <c r="AG22" s="277" t="s">
        <v>305</v>
      </c>
      <c r="AH22" s="239"/>
      <c r="AI22" s="273">
        <v>10</v>
      </c>
      <c r="AJ22" s="275">
        <v>56</v>
      </c>
      <c r="AK22" s="275">
        <v>0.01</v>
      </c>
      <c r="AL22" s="275">
        <v>56</v>
      </c>
      <c r="AM22" s="275">
        <v>0</v>
      </c>
      <c r="AN22" s="275">
        <v>30</v>
      </c>
      <c r="AO22" s="275">
        <v>0</v>
      </c>
      <c r="AP22" s="275">
        <v>30</v>
      </c>
      <c r="AQ22" s="214">
        <v>0.48168441045883381</v>
      </c>
      <c r="AR22" s="1">
        <v>30.7</v>
      </c>
      <c r="AS22" s="211">
        <v>30.7</v>
      </c>
      <c r="AT22" s="212">
        <v>30.7</v>
      </c>
      <c r="AU22" s="212">
        <v>30.7</v>
      </c>
      <c r="AV22" s="212"/>
      <c r="AW22" s="215"/>
      <c r="AX22" s="214"/>
      <c r="AY22" s="216"/>
      <c r="AZ22" s="322">
        <f t="shared" si="0"/>
        <v>-6.1684410458833827E-2</v>
      </c>
      <c r="BA22" s="313"/>
      <c r="BB22" s="314"/>
      <c r="BC22" s="314"/>
      <c r="BD22" s="314"/>
      <c r="BE22" s="314"/>
      <c r="BF22" s="314"/>
      <c r="BG22" s="314"/>
      <c r="BH22" s="314"/>
      <c r="BI22" s="315"/>
    </row>
    <row r="23" spans="2:61" s="1" customFormat="1" ht="20.05" customHeight="1" x14ac:dyDescent="0.6">
      <c r="B23" s="297" t="s">
        <v>280</v>
      </c>
      <c r="C23" s="298"/>
      <c r="D23" s="299"/>
      <c r="E23" s="300"/>
      <c r="G23" s="254" t="s">
        <v>52</v>
      </c>
      <c r="H23" s="255" t="s">
        <v>39</v>
      </c>
      <c r="I23" s="254" t="s">
        <v>136</v>
      </c>
      <c r="J23" s="255">
        <v>4</v>
      </c>
      <c r="K23" s="255">
        <v>0.6</v>
      </c>
      <c r="L23" s="256">
        <v>0.6</v>
      </c>
      <c r="M23" s="257">
        <v>2600</v>
      </c>
      <c r="N23" s="257">
        <v>30</v>
      </c>
      <c r="O23" s="258">
        <v>30</v>
      </c>
      <c r="P23" s="259" t="s">
        <v>170</v>
      </c>
      <c r="Q23" s="257">
        <f>VLOOKUP(P23,'Listen und Kennwerte'!$B$4:$O$11,2,FALSE)</f>
        <v>28</v>
      </c>
      <c r="R23" s="257">
        <f>VLOOKUP(P23,'Listen und Kennwerte'!$B$4:$O$11,2,FALSE)</f>
        <v>28</v>
      </c>
      <c r="S23" s="260">
        <f>VLOOKUP(P23,'Listen und Kennwerte'!$B$4:$O$11,8,FALSE)</f>
        <v>12600</v>
      </c>
      <c r="T23" s="260">
        <f>VLOOKUP(P23,'Listen und Kennwerte'!$B$4:$O$11,9,FALSE)</f>
        <v>10500</v>
      </c>
      <c r="U23" s="260">
        <f>VLOOKUP(P23,'Listen und Kennwerte'!$B$4:$O$11,12,FALSE)</f>
        <v>540</v>
      </c>
      <c r="V23" s="261">
        <v>0.6</v>
      </c>
      <c r="W23" s="256">
        <v>1.3</v>
      </c>
      <c r="X23" s="230"/>
      <c r="Y23" s="262">
        <v>23.09</v>
      </c>
      <c r="Z23" s="263">
        <v>0.38</v>
      </c>
      <c r="AA23" s="263">
        <v>0.99</v>
      </c>
      <c r="AB23" s="263">
        <v>1</v>
      </c>
      <c r="AC23" s="265">
        <v>7222.2222222222226</v>
      </c>
      <c r="AD23" s="265">
        <v>833.33</v>
      </c>
      <c r="AE23" s="265">
        <v>833.33</v>
      </c>
      <c r="AF23" s="208">
        <v>0.67</v>
      </c>
      <c r="AG23" s="266" t="s">
        <v>304</v>
      </c>
      <c r="AH23" s="239"/>
      <c r="AI23" s="262">
        <v>20</v>
      </c>
      <c r="AJ23" s="264">
        <v>82</v>
      </c>
      <c r="AK23" s="264">
        <v>0.02</v>
      </c>
      <c r="AL23" s="264">
        <v>82</v>
      </c>
      <c r="AM23" s="264">
        <v>0</v>
      </c>
      <c r="AN23" s="264">
        <v>30</v>
      </c>
      <c r="AO23" s="264">
        <v>0</v>
      </c>
      <c r="AP23" s="264">
        <v>30</v>
      </c>
      <c r="AQ23" s="209">
        <v>0.54301229736359569</v>
      </c>
      <c r="AR23" s="1">
        <v>31.26</v>
      </c>
      <c r="AS23" s="206">
        <v>31.26</v>
      </c>
      <c r="AT23" s="207">
        <v>31.26</v>
      </c>
      <c r="AU23" s="207">
        <v>31.26</v>
      </c>
      <c r="AV23" s="207"/>
      <c r="AW23" s="210"/>
      <c r="AX23" s="209"/>
      <c r="AY23" s="216"/>
      <c r="AZ23" s="322">
        <f t="shared" si="0"/>
        <v>0.12698770263640435</v>
      </c>
      <c r="BA23" s="313"/>
      <c r="BB23" s="314"/>
      <c r="BC23" s="314"/>
      <c r="BD23" s="314"/>
      <c r="BE23" s="314"/>
      <c r="BF23" s="314"/>
      <c r="BG23" s="314"/>
      <c r="BH23" s="314"/>
      <c r="BI23" s="315"/>
    </row>
    <row r="24" spans="2:61" s="1" customFormat="1" ht="20.05" customHeight="1" x14ac:dyDescent="0.6">
      <c r="B24" s="303" t="s">
        <v>308</v>
      </c>
      <c r="C24" s="298"/>
      <c r="D24" s="302">
        <v>100</v>
      </c>
      <c r="E24" s="300" t="s">
        <v>41</v>
      </c>
      <c r="G24" s="267" t="s">
        <v>53</v>
      </c>
      <c r="H24" s="241" t="s">
        <v>39</v>
      </c>
      <c r="I24" s="267" t="s">
        <v>136</v>
      </c>
      <c r="J24" s="241">
        <v>5</v>
      </c>
      <c r="K24" s="241">
        <v>0.6</v>
      </c>
      <c r="L24" s="242">
        <v>0.6</v>
      </c>
      <c r="M24" s="268">
        <v>2600</v>
      </c>
      <c r="N24" s="268">
        <v>30</v>
      </c>
      <c r="O24" s="269">
        <v>30</v>
      </c>
      <c r="P24" s="270" t="s">
        <v>170</v>
      </c>
      <c r="Q24" s="268">
        <f>VLOOKUP(P24,'Listen und Kennwerte'!$B$4:$O$11,2,FALSE)</f>
        <v>28</v>
      </c>
      <c r="R24" s="268">
        <f>VLOOKUP(P24,'Listen und Kennwerte'!$B$4:$O$11,2,FALSE)</f>
        <v>28</v>
      </c>
      <c r="S24" s="271">
        <f>VLOOKUP(P24,'Listen und Kennwerte'!$B$4:$O$11,8,FALSE)</f>
        <v>12600</v>
      </c>
      <c r="T24" s="271">
        <f>VLOOKUP(P24,'Listen und Kennwerte'!$B$4:$O$11,9,FALSE)</f>
        <v>10500</v>
      </c>
      <c r="U24" s="271">
        <f>VLOOKUP(P24,'Listen und Kennwerte'!$B$4:$O$11,12,FALSE)</f>
        <v>540</v>
      </c>
      <c r="V24" s="272">
        <v>0.6</v>
      </c>
      <c r="W24" s="242">
        <v>1.3</v>
      </c>
      <c r="X24" s="230"/>
      <c r="Y24" s="273">
        <v>28.87</v>
      </c>
      <c r="Z24" s="274">
        <v>0.47</v>
      </c>
      <c r="AA24" s="274">
        <v>0.98</v>
      </c>
      <c r="AB24" s="274">
        <v>1</v>
      </c>
      <c r="AC24" s="276">
        <v>7222.2222222222226</v>
      </c>
      <c r="AD24" s="276">
        <v>833.33</v>
      </c>
      <c r="AE24" s="276">
        <v>833.33</v>
      </c>
      <c r="AF24" s="213">
        <v>0.68</v>
      </c>
      <c r="AG24" s="277" t="s">
        <v>304</v>
      </c>
      <c r="AH24" s="239"/>
      <c r="AI24" s="273">
        <v>30</v>
      </c>
      <c r="AJ24" s="275">
        <v>108</v>
      </c>
      <c r="AK24" s="275">
        <v>0.03</v>
      </c>
      <c r="AL24" s="275">
        <v>108</v>
      </c>
      <c r="AM24" s="275">
        <v>0</v>
      </c>
      <c r="AN24" s="275">
        <v>30</v>
      </c>
      <c r="AO24" s="275">
        <v>0</v>
      </c>
      <c r="AP24" s="275">
        <v>30</v>
      </c>
      <c r="AQ24" s="214">
        <v>0.6082318271255005</v>
      </c>
      <c r="AR24" s="1">
        <v>32.01</v>
      </c>
      <c r="AS24" s="211">
        <v>32.020000000000003</v>
      </c>
      <c r="AT24" s="212">
        <v>32.020000000000003</v>
      </c>
      <c r="AU24" s="212">
        <v>32.020000000000003</v>
      </c>
      <c r="AV24" s="212"/>
      <c r="AW24" s="215"/>
      <c r="AX24" s="214"/>
      <c r="AY24" s="216"/>
      <c r="AZ24" s="322">
        <f t="shared" si="0"/>
        <v>7.1768172874499547E-2</v>
      </c>
      <c r="BA24" s="313"/>
      <c r="BB24" s="314"/>
      <c r="BC24" s="314"/>
      <c r="BD24" s="314"/>
      <c r="BE24" s="314"/>
      <c r="BF24" s="314"/>
      <c r="BG24" s="314"/>
      <c r="BH24" s="314"/>
      <c r="BI24" s="315"/>
    </row>
    <row r="25" spans="2:61" s="1" customFormat="1" ht="20.05" customHeight="1" x14ac:dyDescent="0.6">
      <c r="B25" s="303" t="s">
        <v>333</v>
      </c>
      <c r="C25" s="298"/>
      <c r="D25" s="302">
        <v>50</v>
      </c>
      <c r="E25" s="300" t="s">
        <v>43</v>
      </c>
      <c r="G25" s="254" t="s">
        <v>54</v>
      </c>
      <c r="H25" s="255" t="s">
        <v>39</v>
      </c>
      <c r="I25" s="254" t="s">
        <v>136</v>
      </c>
      <c r="J25" s="255">
        <v>6</v>
      </c>
      <c r="K25" s="255">
        <v>0.6</v>
      </c>
      <c r="L25" s="256">
        <v>0.6</v>
      </c>
      <c r="M25" s="257">
        <v>2600</v>
      </c>
      <c r="N25" s="257">
        <v>30</v>
      </c>
      <c r="O25" s="258">
        <v>30</v>
      </c>
      <c r="P25" s="259" t="s">
        <v>170</v>
      </c>
      <c r="Q25" s="257">
        <f>VLOOKUP(P25,'Listen und Kennwerte'!$B$4:$O$11,2,FALSE)</f>
        <v>28</v>
      </c>
      <c r="R25" s="257">
        <f>VLOOKUP(P25,'Listen und Kennwerte'!$B$4:$O$11,2,FALSE)</f>
        <v>28</v>
      </c>
      <c r="S25" s="260">
        <f>VLOOKUP(P25,'Listen und Kennwerte'!$B$4:$O$11,8,FALSE)</f>
        <v>12600</v>
      </c>
      <c r="T25" s="260">
        <f>VLOOKUP(P25,'Listen und Kennwerte'!$B$4:$O$11,9,FALSE)</f>
        <v>10500</v>
      </c>
      <c r="U25" s="260">
        <f>VLOOKUP(P25,'Listen und Kennwerte'!$B$4:$O$11,12,FALSE)</f>
        <v>540</v>
      </c>
      <c r="V25" s="261">
        <v>0.6</v>
      </c>
      <c r="W25" s="256">
        <v>1.3</v>
      </c>
      <c r="X25" s="230"/>
      <c r="Y25" s="262">
        <v>34.64</v>
      </c>
      <c r="Z25" s="263">
        <v>0.56999999999999995</v>
      </c>
      <c r="AA25" s="263">
        <v>0.96</v>
      </c>
      <c r="AB25" s="263">
        <v>1</v>
      </c>
      <c r="AC25" s="265">
        <v>7222.2222222222226</v>
      </c>
      <c r="AD25" s="265">
        <v>833.33</v>
      </c>
      <c r="AE25" s="265">
        <v>833.33</v>
      </c>
      <c r="AF25" s="208">
        <v>0.69</v>
      </c>
      <c r="AG25" s="266" t="s">
        <v>304</v>
      </c>
      <c r="AH25" s="239"/>
      <c r="AI25" s="262">
        <v>30</v>
      </c>
      <c r="AJ25" s="264">
        <v>108</v>
      </c>
      <c r="AK25" s="264">
        <v>0.03</v>
      </c>
      <c r="AL25" s="264">
        <v>108</v>
      </c>
      <c r="AM25" s="264">
        <v>0</v>
      </c>
      <c r="AN25" s="264">
        <v>30</v>
      </c>
      <c r="AO25" s="264">
        <v>0</v>
      </c>
      <c r="AP25" s="264">
        <v>30</v>
      </c>
      <c r="AQ25" s="209">
        <v>0.61723626164931</v>
      </c>
      <c r="AR25" s="1">
        <v>32.97</v>
      </c>
      <c r="AS25" s="206">
        <v>32.99</v>
      </c>
      <c r="AT25" s="207">
        <v>32.99</v>
      </c>
      <c r="AU25" s="207">
        <v>32.99</v>
      </c>
      <c r="AV25" s="207"/>
      <c r="AW25" s="210"/>
      <c r="AX25" s="209"/>
      <c r="AY25" s="216"/>
      <c r="AZ25" s="322">
        <f t="shared" si="0"/>
        <v>7.2763738350689944E-2</v>
      </c>
      <c r="BA25" s="313"/>
      <c r="BB25" s="314"/>
      <c r="BC25" s="314"/>
      <c r="BD25" s="314"/>
      <c r="BE25" s="314"/>
      <c r="BF25" s="314"/>
      <c r="BG25" s="314"/>
      <c r="BH25" s="314"/>
      <c r="BI25" s="315"/>
    </row>
    <row r="26" spans="2:61" s="1" customFormat="1" ht="20.05" customHeight="1" x14ac:dyDescent="0.6">
      <c r="B26" s="303" t="s">
        <v>334</v>
      </c>
      <c r="C26" s="298"/>
      <c r="D26" s="302">
        <v>5</v>
      </c>
      <c r="E26" s="300" t="s">
        <v>42</v>
      </c>
      <c r="G26" s="267" t="s">
        <v>56</v>
      </c>
      <c r="H26" s="241" t="s">
        <v>39</v>
      </c>
      <c r="I26" s="267" t="s">
        <v>136</v>
      </c>
      <c r="J26" s="241">
        <v>7</v>
      </c>
      <c r="K26" s="241">
        <v>0.6</v>
      </c>
      <c r="L26" s="242">
        <v>0.6</v>
      </c>
      <c r="M26" s="268">
        <v>2600</v>
      </c>
      <c r="N26" s="268">
        <v>30</v>
      </c>
      <c r="O26" s="269">
        <v>30</v>
      </c>
      <c r="P26" s="270" t="s">
        <v>170</v>
      </c>
      <c r="Q26" s="268">
        <f>VLOOKUP(P26,'Listen und Kennwerte'!$B$4:$O$11,2,FALSE)</f>
        <v>28</v>
      </c>
      <c r="R26" s="268">
        <f>VLOOKUP(P26,'Listen und Kennwerte'!$B$4:$O$11,2,FALSE)</f>
        <v>28</v>
      </c>
      <c r="S26" s="271">
        <f>VLOOKUP(P26,'Listen und Kennwerte'!$B$4:$O$11,8,FALSE)</f>
        <v>12600</v>
      </c>
      <c r="T26" s="271">
        <f>VLOOKUP(P26,'Listen und Kennwerte'!$B$4:$O$11,9,FALSE)</f>
        <v>10500</v>
      </c>
      <c r="U26" s="271">
        <f>VLOOKUP(P26,'Listen und Kennwerte'!$B$4:$O$11,12,FALSE)</f>
        <v>540</v>
      </c>
      <c r="V26" s="272">
        <v>0.6</v>
      </c>
      <c r="W26" s="242">
        <v>1.3</v>
      </c>
      <c r="X26" s="230"/>
      <c r="Y26" s="273">
        <v>40.409999999999997</v>
      </c>
      <c r="Z26" s="274">
        <v>0.66</v>
      </c>
      <c r="AA26" s="274">
        <v>0.94</v>
      </c>
      <c r="AB26" s="274">
        <v>1</v>
      </c>
      <c r="AC26" s="276">
        <v>7222.2222222222226</v>
      </c>
      <c r="AD26" s="276">
        <v>833.33</v>
      </c>
      <c r="AE26" s="276">
        <v>833.33</v>
      </c>
      <c r="AF26" s="213">
        <v>0.7</v>
      </c>
      <c r="AG26" s="277" t="s">
        <v>304</v>
      </c>
      <c r="AH26" s="239"/>
      <c r="AI26" s="273">
        <v>30</v>
      </c>
      <c r="AJ26" s="275">
        <v>108</v>
      </c>
      <c r="AK26" s="275">
        <v>0.03</v>
      </c>
      <c r="AL26" s="275">
        <v>108</v>
      </c>
      <c r="AM26" s="275">
        <v>0</v>
      </c>
      <c r="AN26" s="275">
        <v>30</v>
      </c>
      <c r="AO26" s="275">
        <v>0</v>
      </c>
      <c r="AP26" s="275">
        <v>30</v>
      </c>
      <c r="AQ26" s="214">
        <v>0.62860259498264337</v>
      </c>
      <c r="AR26" s="1">
        <v>34.159999999999997</v>
      </c>
      <c r="AS26" s="211">
        <v>34.22</v>
      </c>
      <c r="AT26" s="212">
        <v>34.229999999999997</v>
      </c>
      <c r="AU26" s="212">
        <v>34.229999999999997</v>
      </c>
      <c r="AV26" s="212"/>
      <c r="AW26" s="215"/>
      <c r="AX26" s="214"/>
      <c r="AY26" s="216"/>
      <c r="AZ26" s="322">
        <f>AF26-AQ26</f>
        <v>7.1397405017356586E-2</v>
      </c>
      <c r="BA26" s="313"/>
      <c r="BB26" s="314"/>
      <c r="BC26" s="314"/>
      <c r="BD26" s="314"/>
      <c r="BE26" s="314"/>
      <c r="BF26" s="314"/>
      <c r="BG26" s="314"/>
      <c r="BH26" s="314"/>
      <c r="BI26" s="315"/>
    </row>
    <row r="27" spans="2:61" s="1" customFormat="1" ht="20.05" customHeight="1" x14ac:dyDescent="0.6">
      <c r="B27" s="297"/>
      <c r="C27" s="298"/>
      <c r="D27" s="299"/>
      <c r="E27" s="300"/>
      <c r="G27" s="254" t="s">
        <v>57</v>
      </c>
      <c r="H27" s="255" t="s">
        <v>39</v>
      </c>
      <c r="I27" s="254" t="s">
        <v>136</v>
      </c>
      <c r="J27" s="255">
        <v>8</v>
      </c>
      <c r="K27" s="255">
        <v>0.6</v>
      </c>
      <c r="L27" s="256">
        <v>0.6</v>
      </c>
      <c r="M27" s="257">
        <v>2600</v>
      </c>
      <c r="N27" s="257">
        <v>30</v>
      </c>
      <c r="O27" s="258">
        <v>30</v>
      </c>
      <c r="P27" s="259" t="s">
        <v>170</v>
      </c>
      <c r="Q27" s="257">
        <f>VLOOKUP(P27,'Listen und Kennwerte'!$B$4:$O$11,2,FALSE)</f>
        <v>28</v>
      </c>
      <c r="R27" s="257">
        <f>VLOOKUP(P27,'Listen und Kennwerte'!$B$4:$O$11,2,FALSE)</f>
        <v>28</v>
      </c>
      <c r="S27" s="260">
        <f>VLOOKUP(P27,'Listen und Kennwerte'!$B$4:$O$11,8,FALSE)</f>
        <v>12600</v>
      </c>
      <c r="T27" s="260">
        <f>VLOOKUP(P27,'Listen und Kennwerte'!$B$4:$O$11,9,FALSE)</f>
        <v>10500</v>
      </c>
      <c r="U27" s="260">
        <f>VLOOKUP(P27,'Listen und Kennwerte'!$B$4:$O$11,12,FALSE)</f>
        <v>540</v>
      </c>
      <c r="V27" s="261">
        <v>0.6</v>
      </c>
      <c r="W27" s="256">
        <v>1.3</v>
      </c>
      <c r="X27" s="230"/>
      <c r="Y27" s="262">
        <v>46.19</v>
      </c>
      <c r="Z27" s="263">
        <v>0.76</v>
      </c>
      <c r="AA27" s="263">
        <v>0.91</v>
      </c>
      <c r="AB27" s="263">
        <v>1</v>
      </c>
      <c r="AC27" s="265">
        <v>7222.2222222222226</v>
      </c>
      <c r="AD27" s="265">
        <v>833.33</v>
      </c>
      <c r="AE27" s="265">
        <v>833.33</v>
      </c>
      <c r="AF27" s="208">
        <v>0.72</v>
      </c>
      <c r="AG27" s="266" t="s">
        <v>304</v>
      </c>
      <c r="AH27" s="239"/>
      <c r="AI27" s="262">
        <v>30</v>
      </c>
      <c r="AJ27" s="264">
        <v>108</v>
      </c>
      <c r="AK27" s="264">
        <v>0.03</v>
      </c>
      <c r="AL27" s="264">
        <v>108</v>
      </c>
      <c r="AM27" s="264">
        <v>0</v>
      </c>
      <c r="AN27" s="264">
        <v>30</v>
      </c>
      <c r="AO27" s="264">
        <v>0</v>
      </c>
      <c r="AP27" s="264">
        <v>30</v>
      </c>
      <c r="AQ27" s="209">
        <v>0.6428337259350243</v>
      </c>
      <c r="AR27" s="1">
        <v>35.61</v>
      </c>
      <c r="AS27" s="206">
        <v>35.74</v>
      </c>
      <c r="AT27" s="207">
        <v>35.76</v>
      </c>
      <c r="AU27" s="207">
        <v>35.76</v>
      </c>
      <c r="AV27" s="207"/>
      <c r="AW27" s="210"/>
      <c r="AX27" s="209"/>
      <c r="AY27" s="216"/>
      <c r="AZ27" s="322">
        <f t="shared" si="0"/>
        <v>7.7166274064975671E-2</v>
      </c>
      <c r="BA27" s="313"/>
      <c r="BB27" s="314"/>
      <c r="BC27" s="314"/>
      <c r="BD27" s="314"/>
      <c r="BE27" s="314"/>
      <c r="BF27" s="314"/>
      <c r="BG27" s="314"/>
      <c r="BH27" s="314"/>
      <c r="BI27" s="315"/>
    </row>
    <row r="28" spans="2:61" s="1" customFormat="1" ht="20.05" customHeight="1" x14ac:dyDescent="0.6">
      <c r="B28" s="303" t="s">
        <v>298</v>
      </c>
      <c r="C28" s="298"/>
      <c r="D28" s="299"/>
      <c r="E28" s="300"/>
      <c r="G28" s="267" t="s">
        <v>58</v>
      </c>
      <c r="H28" s="241" t="s">
        <v>39</v>
      </c>
      <c r="I28" s="267" t="s">
        <v>136</v>
      </c>
      <c r="J28" s="241">
        <v>9</v>
      </c>
      <c r="K28" s="241">
        <v>0.6</v>
      </c>
      <c r="L28" s="242">
        <v>0.6</v>
      </c>
      <c r="M28" s="268">
        <v>2600</v>
      </c>
      <c r="N28" s="268">
        <v>30</v>
      </c>
      <c r="O28" s="269">
        <v>30</v>
      </c>
      <c r="P28" s="270" t="s">
        <v>170</v>
      </c>
      <c r="Q28" s="268">
        <f>VLOOKUP(P28,'Listen und Kennwerte'!$B$4:$O$11,2,FALSE)</f>
        <v>28</v>
      </c>
      <c r="R28" s="268">
        <f>VLOOKUP(P28,'Listen und Kennwerte'!$B$4:$O$11,2,FALSE)</f>
        <v>28</v>
      </c>
      <c r="S28" s="271">
        <f>VLOOKUP(P28,'Listen und Kennwerte'!$B$4:$O$11,8,FALSE)</f>
        <v>12600</v>
      </c>
      <c r="T28" s="271">
        <f>VLOOKUP(P28,'Listen und Kennwerte'!$B$4:$O$11,9,FALSE)</f>
        <v>10500</v>
      </c>
      <c r="U28" s="271">
        <f>VLOOKUP(P28,'Listen und Kennwerte'!$B$4:$O$11,12,FALSE)</f>
        <v>540</v>
      </c>
      <c r="V28" s="272">
        <v>0.6</v>
      </c>
      <c r="W28" s="242">
        <v>1.3</v>
      </c>
      <c r="X28" s="230"/>
      <c r="Y28" s="273">
        <v>51.96</v>
      </c>
      <c r="Z28" s="274">
        <v>0.85</v>
      </c>
      <c r="AA28" s="274">
        <v>0.87</v>
      </c>
      <c r="AB28" s="274">
        <v>1</v>
      </c>
      <c r="AC28" s="276">
        <v>7222.2222222222226</v>
      </c>
      <c r="AD28" s="276">
        <v>833.33</v>
      </c>
      <c r="AE28" s="276">
        <v>833.33</v>
      </c>
      <c r="AF28" s="213">
        <v>0.75</v>
      </c>
      <c r="AG28" s="277" t="s">
        <v>304</v>
      </c>
      <c r="AH28" s="239"/>
      <c r="AI28" s="273">
        <v>30</v>
      </c>
      <c r="AJ28" s="275">
        <v>108</v>
      </c>
      <c r="AK28" s="275">
        <v>0.03</v>
      </c>
      <c r="AL28" s="275">
        <v>108</v>
      </c>
      <c r="AM28" s="275">
        <v>0</v>
      </c>
      <c r="AN28" s="275">
        <v>30</v>
      </c>
      <c r="AO28" s="275">
        <v>0</v>
      </c>
      <c r="AP28" s="275">
        <v>30</v>
      </c>
      <c r="AQ28" s="214">
        <v>0.66061880926835759</v>
      </c>
      <c r="AR28" s="1">
        <v>37.369999999999997</v>
      </c>
      <c r="AS28" s="211">
        <v>37.619999999999997</v>
      </c>
      <c r="AT28" s="212">
        <v>37.67</v>
      </c>
      <c r="AU28" s="212">
        <v>37.68</v>
      </c>
      <c r="AV28" s="212"/>
      <c r="AW28" s="215"/>
      <c r="AX28" s="214"/>
      <c r="AY28" s="216"/>
      <c r="AZ28" s="322">
        <f t="shared" si="0"/>
        <v>8.9381190731642413E-2</v>
      </c>
      <c r="BA28" s="313"/>
      <c r="BB28" s="314"/>
      <c r="BC28" s="314"/>
      <c r="BD28" s="314"/>
      <c r="BE28" s="314"/>
      <c r="BF28" s="314"/>
      <c r="BG28" s="314"/>
      <c r="BH28" s="314"/>
      <c r="BI28" s="315"/>
    </row>
    <row r="29" spans="2:61" s="1" customFormat="1" ht="20.05" customHeight="1" x14ac:dyDescent="0.6">
      <c r="B29" s="297"/>
      <c r="C29" s="298"/>
      <c r="D29" s="299"/>
      <c r="E29" s="300"/>
      <c r="G29" s="278" t="s">
        <v>59</v>
      </c>
      <c r="H29" s="279" t="s">
        <v>39</v>
      </c>
      <c r="I29" s="278" t="s">
        <v>136</v>
      </c>
      <c r="J29" s="279">
        <v>10</v>
      </c>
      <c r="K29" s="279">
        <v>0.6</v>
      </c>
      <c r="L29" s="280">
        <v>0.6</v>
      </c>
      <c r="M29" s="281">
        <v>2600</v>
      </c>
      <c r="N29" s="281">
        <v>30</v>
      </c>
      <c r="O29" s="282">
        <v>30</v>
      </c>
      <c r="P29" s="283" t="s">
        <v>170</v>
      </c>
      <c r="Q29" s="281">
        <f>VLOOKUP(P29,'Listen und Kennwerte'!$B$4:$O$11,2,FALSE)</f>
        <v>28</v>
      </c>
      <c r="R29" s="281">
        <f>VLOOKUP(P29,'Listen und Kennwerte'!$B$4:$O$11,2,FALSE)</f>
        <v>28</v>
      </c>
      <c r="S29" s="284">
        <f>VLOOKUP(P29,'Listen und Kennwerte'!$B$4:$O$11,8,FALSE)</f>
        <v>12600</v>
      </c>
      <c r="T29" s="284">
        <f>VLOOKUP(P29,'Listen und Kennwerte'!$B$4:$O$11,9,FALSE)</f>
        <v>10500</v>
      </c>
      <c r="U29" s="284">
        <f>VLOOKUP(P29,'Listen und Kennwerte'!$B$4:$O$11,12,FALSE)</f>
        <v>540</v>
      </c>
      <c r="V29" s="285">
        <v>0.6</v>
      </c>
      <c r="W29" s="280">
        <v>1.3</v>
      </c>
      <c r="X29" s="230"/>
      <c r="Y29" s="286">
        <v>57.74</v>
      </c>
      <c r="Z29" s="287">
        <v>0.95</v>
      </c>
      <c r="AA29" s="287">
        <v>0.81</v>
      </c>
      <c r="AB29" s="287">
        <v>1</v>
      </c>
      <c r="AC29" s="289">
        <v>7222.2222222222226</v>
      </c>
      <c r="AD29" s="289">
        <v>833.33</v>
      </c>
      <c r="AE29" s="289">
        <v>833.33</v>
      </c>
      <c r="AF29" s="217">
        <v>0.8</v>
      </c>
      <c r="AG29" s="290" t="s">
        <v>304</v>
      </c>
      <c r="AH29" s="239"/>
      <c r="AI29" s="286">
        <v>40</v>
      </c>
      <c r="AJ29" s="288">
        <v>134</v>
      </c>
      <c r="AK29" s="288">
        <v>0.04</v>
      </c>
      <c r="AL29" s="288">
        <v>134</v>
      </c>
      <c r="AM29" s="288">
        <v>0</v>
      </c>
      <c r="AN29" s="288">
        <v>30</v>
      </c>
      <c r="AO29" s="288">
        <v>0</v>
      </c>
      <c r="AP29" s="288">
        <v>30</v>
      </c>
      <c r="AQ29" s="218">
        <v>0.75745271403026249</v>
      </c>
      <c r="AR29" s="1">
        <v>39.450000000000003</v>
      </c>
      <c r="AS29" s="206">
        <v>39.93</v>
      </c>
      <c r="AT29" s="207">
        <v>40.049999999999997</v>
      </c>
      <c r="AU29" s="207">
        <v>40.08</v>
      </c>
      <c r="AV29" s="207"/>
      <c r="AW29" s="210"/>
      <c r="AX29" s="209"/>
      <c r="AY29" s="216"/>
      <c r="AZ29" s="322">
        <f t="shared" si="0"/>
        <v>4.2547285969737558E-2</v>
      </c>
      <c r="BA29" s="316"/>
      <c r="BB29" s="317"/>
      <c r="BC29" s="317"/>
      <c r="BD29" s="317"/>
      <c r="BE29" s="317"/>
      <c r="BF29" s="317"/>
      <c r="BG29" s="317"/>
      <c r="BH29" s="317"/>
      <c r="BI29" s="318"/>
    </row>
    <row r="30" spans="2:61" s="1" customFormat="1" ht="20.05" customHeight="1" x14ac:dyDescent="0.6">
      <c r="B30" s="297" t="s">
        <v>291</v>
      </c>
      <c r="C30" s="298"/>
      <c r="D30" s="299"/>
      <c r="E30" s="300"/>
      <c r="G30" s="240" t="s">
        <v>45</v>
      </c>
      <c r="H30" s="291" t="s">
        <v>39</v>
      </c>
      <c r="I30" s="240" t="s">
        <v>136</v>
      </c>
      <c r="J30" s="291">
        <v>3</v>
      </c>
      <c r="K30" s="291">
        <v>0.5</v>
      </c>
      <c r="L30" s="248">
        <v>0.5</v>
      </c>
      <c r="M30" s="243">
        <v>2600</v>
      </c>
      <c r="N30" s="243">
        <v>10</v>
      </c>
      <c r="O30" s="244">
        <v>0</v>
      </c>
      <c r="P30" s="245" t="s">
        <v>170</v>
      </c>
      <c r="Q30" s="243">
        <f>VLOOKUP(P30,'Listen und Kennwerte'!$B$4:$O$11,2,FALSE)</f>
        <v>28</v>
      </c>
      <c r="R30" s="243">
        <f>VLOOKUP(P30,'Listen und Kennwerte'!$B$4:$O$11,2,FALSE)</f>
        <v>28</v>
      </c>
      <c r="S30" s="246">
        <f>VLOOKUP(P30,'Listen und Kennwerte'!$B$4:$O$11,8,FALSE)</f>
        <v>12600</v>
      </c>
      <c r="T30" s="246">
        <f>VLOOKUP(P30,'Listen und Kennwerte'!$B$4:$O$11,9,FALSE)</f>
        <v>10500</v>
      </c>
      <c r="U30" s="246">
        <f>VLOOKUP(P30,'Listen und Kennwerte'!$B$4:$O$11,12,FALSE)</f>
        <v>540</v>
      </c>
      <c r="V30" s="247">
        <v>0.6</v>
      </c>
      <c r="W30" s="248">
        <v>1.3</v>
      </c>
      <c r="X30" s="230"/>
      <c r="Y30" s="273">
        <v>20.78</v>
      </c>
      <c r="Z30" s="274">
        <v>0.34</v>
      </c>
      <c r="AA30" s="274">
        <v>1</v>
      </c>
      <c r="AB30" s="274">
        <v>1</v>
      </c>
      <c r="AC30" s="276">
        <v>10400</v>
      </c>
      <c r="AD30" s="276">
        <v>480</v>
      </c>
      <c r="AE30" s="276">
        <v>0</v>
      </c>
      <c r="AF30" s="213">
        <v>0.84</v>
      </c>
      <c r="AG30" s="277" t="s">
        <v>304</v>
      </c>
      <c r="AH30" s="239"/>
      <c r="AI30" s="273">
        <v>10</v>
      </c>
      <c r="AJ30" s="275">
        <v>36</v>
      </c>
      <c r="AK30" s="275">
        <v>0.01</v>
      </c>
      <c r="AL30" s="275">
        <v>26</v>
      </c>
      <c r="AM30" s="275">
        <v>0</v>
      </c>
      <c r="AN30" s="275">
        <v>0</v>
      </c>
      <c r="AO30" s="275">
        <v>0</v>
      </c>
      <c r="AP30" s="275">
        <v>0</v>
      </c>
      <c r="AQ30" s="214">
        <v>0.78793029478458054</v>
      </c>
      <c r="AR30" s="1">
        <v>0</v>
      </c>
      <c r="AS30" s="211">
        <v>0</v>
      </c>
      <c r="AT30" s="212">
        <v>0</v>
      </c>
      <c r="AU30" s="212">
        <v>0</v>
      </c>
      <c r="AV30" s="212"/>
      <c r="AW30" s="215"/>
      <c r="AX30" s="214"/>
      <c r="AY30" s="216"/>
      <c r="AZ30" s="322">
        <f t="shared" si="0"/>
        <v>5.2069705215419426E-2</v>
      </c>
      <c r="BA30" s="319"/>
      <c r="BB30" s="320"/>
      <c r="BC30" s="320"/>
      <c r="BD30" s="320"/>
      <c r="BE30" s="320"/>
      <c r="BF30" s="320"/>
      <c r="BG30" s="320"/>
      <c r="BH30" s="320"/>
      <c r="BI30" s="321"/>
    </row>
    <row r="31" spans="2:61" s="1" customFormat="1" ht="20.05" customHeight="1" x14ac:dyDescent="0.6">
      <c r="B31" s="303" t="s">
        <v>269</v>
      </c>
      <c r="C31" s="298"/>
      <c r="D31" s="299"/>
      <c r="E31" s="300"/>
      <c r="G31" s="254" t="s">
        <v>50</v>
      </c>
      <c r="H31" s="255" t="s">
        <v>39</v>
      </c>
      <c r="I31" s="254" t="s">
        <v>136</v>
      </c>
      <c r="J31" s="255">
        <v>3</v>
      </c>
      <c r="K31" s="255">
        <v>0.5</v>
      </c>
      <c r="L31" s="256">
        <v>0.5</v>
      </c>
      <c r="M31" s="257">
        <v>2600</v>
      </c>
      <c r="N31" s="257">
        <v>20</v>
      </c>
      <c r="O31" s="258">
        <v>0</v>
      </c>
      <c r="P31" s="259" t="s">
        <v>170</v>
      </c>
      <c r="Q31" s="257">
        <f>VLOOKUP(P31,'Listen und Kennwerte'!$B$4:$O$11,2,FALSE)</f>
        <v>28</v>
      </c>
      <c r="R31" s="257">
        <f>VLOOKUP(P31,'Listen und Kennwerte'!$B$4:$O$11,2,FALSE)</f>
        <v>28</v>
      </c>
      <c r="S31" s="260">
        <f>VLOOKUP(P31,'Listen und Kennwerte'!$B$4:$O$11,8,FALSE)</f>
        <v>12600</v>
      </c>
      <c r="T31" s="260">
        <f>VLOOKUP(P31,'Listen und Kennwerte'!$B$4:$O$11,9,FALSE)</f>
        <v>10500</v>
      </c>
      <c r="U31" s="260">
        <f>VLOOKUP(P31,'Listen und Kennwerte'!$B$4:$O$11,12,FALSE)</f>
        <v>540</v>
      </c>
      <c r="V31" s="261">
        <v>0.6</v>
      </c>
      <c r="W31" s="256">
        <v>1.3</v>
      </c>
      <c r="X31" s="230"/>
      <c r="Y31" s="262">
        <v>20.78</v>
      </c>
      <c r="Z31" s="263">
        <v>0.34</v>
      </c>
      <c r="AA31" s="263">
        <v>1</v>
      </c>
      <c r="AB31" s="263">
        <v>1</v>
      </c>
      <c r="AC31" s="265">
        <v>10400</v>
      </c>
      <c r="AD31" s="265">
        <v>960</v>
      </c>
      <c r="AE31" s="265">
        <v>0</v>
      </c>
      <c r="AF31" s="208">
        <v>0.88</v>
      </c>
      <c r="AG31" s="266" t="s">
        <v>304</v>
      </c>
      <c r="AH31" s="239"/>
      <c r="AI31" s="262">
        <v>10</v>
      </c>
      <c r="AJ31" s="264">
        <v>46</v>
      </c>
      <c r="AK31" s="264">
        <v>0.01</v>
      </c>
      <c r="AL31" s="264">
        <v>26</v>
      </c>
      <c r="AM31" s="264">
        <v>0</v>
      </c>
      <c r="AN31" s="264">
        <v>0</v>
      </c>
      <c r="AO31" s="264">
        <v>0</v>
      </c>
      <c r="AP31" s="264">
        <v>0</v>
      </c>
      <c r="AQ31" s="209">
        <v>0.82689315192743762</v>
      </c>
      <c r="AR31" s="1">
        <v>0</v>
      </c>
      <c r="AS31" s="206">
        <v>0</v>
      </c>
      <c r="AT31" s="207">
        <v>0</v>
      </c>
      <c r="AU31" s="207">
        <v>0</v>
      </c>
      <c r="AV31" s="207"/>
      <c r="AW31" s="210"/>
      <c r="AX31" s="209"/>
      <c r="AY31" s="216"/>
      <c r="AZ31" s="322">
        <f t="shared" si="0"/>
        <v>5.3106848072562385E-2</v>
      </c>
      <c r="BA31" s="313"/>
      <c r="BB31" s="314"/>
      <c r="BC31" s="314"/>
      <c r="BD31" s="314"/>
      <c r="BE31" s="314"/>
      <c r="BF31" s="314"/>
      <c r="BG31" s="314"/>
      <c r="BH31" s="314"/>
      <c r="BI31" s="315"/>
    </row>
    <row r="32" spans="2:61" s="1" customFormat="1" ht="20.05" customHeight="1" x14ac:dyDescent="0.6">
      <c r="B32" s="303" t="s">
        <v>267</v>
      </c>
      <c r="C32" s="298"/>
      <c r="D32" s="302" t="s">
        <v>170</v>
      </c>
      <c r="E32" s="300"/>
      <c r="G32" s="267" t="s">
        <v>51</v>
      </c>
      <c r="H32" s="241" t="s">
        <v>39</v>
      </c>
      <c r="I32" s="267" t="s">
        <v>136</v>
      </c>
      <c r="J32" s="241">
        <v>3</v>
      </c>
      <c r="K32" s="241">
        <v>0.5</v>
      </c>
      <c r="L32" s="242">
        <v>0.5</v>
      </c>
      <c r="M32" s="268">
        <v>2600</v>
      </c>
      <c r="N32" s="268">
        <v>30</v>
      </c>
      <c r="O32" s="269">
        <v>0</v>
      </c>
      <c r="P32" s="270" t="s">
        <v>170</v>
      </c>
      <c r="Q32" s="268">
        <f>VLOOKUP(P32,'Listen und Kennwerte'!$B$4:$O$11,2,FALSE)</f>
        <v>28</v>
      </c>
      <c r="R32" s="268">
        <f>VLOOKUP(P32,'Listen und Kennwerte'!$B$4:$O$11,2,FALSE)</f>
        <v>28</v>
      </c>
      <c r="S32" s="271">
        <f>VLOOKUP(P32,'Listen und Kennwerte'!$B$4:$O$11,8,FALSE)</f>
        <v>12600</v>
      </c>
      <c r="T32" s="271">
        <f>VLOOKUP(P32,'Listen und Kennwerte'!$B$4:$O$11,9,FALSE)</f>
        <v>10500</v>
      </c>
      <c r="U32" s="271">
        <f>VLOOKUP(P32,'Listen und Kennwerte'!$B$4:$O$11,12,FALSE)</f>
        <v>540</v>
      </c>
      <c r="V32" s="272">
        <v>0.6</v>
      </c>
      <c r="W32" s="242">
        <v>1.3</v>
      </c>
      <c r="X32" s="230"/>
      <c r="Y32" s="273">
        <v>20.78</v>
      </c>
      <c r="Z32" s="274">
        <v>0.34</v>
      </c>
      <c r="AA32" s="274">
        <v>1</v>
      </c>
      <c r="AB32" s="274">
        <v>1</v>
      </c>
      <c r="AC32" s="276">
        <v>10400</v>
      </c>
      <c r="AD32" s="276">
        <v>1440</v>
      </c>
      <c r="AE32" s="276">
        <v>0</v>
      </c>
      <c r="AF32" s="213">
        <v>0.92</v>
      </c>
      <c r="AG32" s="277" t="s">
        <v>304</v>
      </c>
      <c r="AH32" s="239"/>
      <c r="AI32" s="273">
        <v>10</v>
      </c>
      <c r="AJ32" s="275">
        <v>56</v>
      </c>
      <c r="AK32" s="275">
        <v>0.01</v>
      </c>
      <c r="AL32" s="275">
        <v>26</v>
      </c>
      <c r="AM32" s="275">
        <v>0</v>
      </c>
      <c r="AN32" s="275">
        <v>0</v>
      </c>
      <c r="AO32" s="275">
        <v>0</v>
      </c>
      <c r="AP32" s="275">
        <v>0</v>
      </c>
      <c r="AQ32" s="214">
        <v>0.86589315192743777</v>
      </c>
      <c r="AR32" s="1">
        <v>0</v>
      </c>
      <c r="AS32" s="211">
        <v>0</v>
      </c>
      <c r="AT32" s="212">
        <v>0</v>
      </c>
      <c r="AU32" s="212">
        <v>0</v>
      </c>
      <c r="AV32" s="212"/>
      <c r="AW32" s="215"/>
      <c r="AX32" s="214"/>
      <c r="AY32" s="216"/>
      <c r="AZ32" s="322">
        <f t="shared" si="0"/>
        <v>5.4106848072562275E-2</v>
      </c>
      <c r="BA32" s="313"/>
      <c r="BB32" s="314"/>
      <c r="BC32" s="314"/>
      <c r="BD32" s="314"/>
      <c r="BE32" s="314"/>
      <c r="BF32" s="314"/>
      <c r="BG32" s="314"/>
      <c r="BH32" s="314"/>
      <c r="BI32" s="315"/>
    </row>
    <row r="33" spans="2:61" s="1" customFormat="1" ht="20.05" customHeight="1" x14ac:dyDescent="0.6">
      <c r="B33" s="303" t="s">
        <v>268</v>
      </c>
      <c r="C33" s="298"/>
      <c r="D33" s="302" t="s">
        <v>177</v>
      </c>
      <c r="E33" s="300"/>
      <c r="G33" s="254" t="s">
        <v>52</v>
      </c>
      <c r="H33" s="255" t="s">
        <v>39</v>
      </c>
      <c r="I33" s="254" t="s">
        <v>136</v>
      </c>
      <c r="J33" s="255">
        <v>3</v>
      </c>
      <c r="K33" s="255">
        <v>0.5</v>
      </c>
      <c r="L33" s="256">
        <v>0.5</v>
      </c>
      <c r="M33" s="257">
        <v>2600</v>
      </c>
      <c r="N33" s="257">
        <v>40</v>
      </c>
      <c r="O33" s="258">
        <v>0</v>
      </c>
      <c r="P33" s="259" t="s">
        <v>170</v>
      </c>
      <c r="Q33" s="257">
        <f>VLOOKUP(P33,'Listen und Kennwerte'!$B$4:$O$11,2,FALSE)</f>
        <v>28</v>
      </c>
      <c r="R33" s="257">
        <f>VLOOKUP(P33,'Listen und Kennwerte'!$B$4:$O$11,2,FALSE)</f>
        <v>28</v>
      </c>
      <c r="S33" s="260">
        <f>VLOOKUP(P33,'Listen und Kennwerte'!$B$4:$O$11,8,FALSE)</f>
        <v>12600</v>
      </c>
      <c r="T33" s="260">
        <f>VLOOKUP(P33,'Listen und Kennwerte'!$B$4:$O$11,9,FALSE)</f>
        <v>10500</v>
      </c>
      <c r="U33" s="260">
        <f>VLOOKUP(P33,'Listen und Kennwerte'!$B$4:$O$11,12,FALSE)</f>
        <v>540</v>
      </c>
      <c r="V33" s="261">
        <v>0.6</v>
      </c>
      <c r="W33" s="256">
        <v>1.3</v>
      </c>
      <c r="X33" s="230"/>
      <c r="Y33" s="262">
        <v>20.78</v>
      </c>
      <c r="Z33" s="263">
        <v>0.34</v>
      </c>
      <c r="AA33" s="263">
        <v>1</v>
      </c>
      <c r="AB33" s="263">
        <v>1</v>
      </c>
      <c r="AC33" s="265">
        <v>10400</v>
      </c>
      <c r="AD33" s="265">
        <v>1920</v>
      </c>
      <c r="AE33" s="265">
        <v>0</v>
      </c>
      <c r="AF33" s="208">
        <v>0.95</v>
      </c>
      <c r="AG33" s="266" t="s">
        <v>304</v>
      </c>
      <c r="AH33" s="239"/>
      <c r="AI33" s="262">
        <v>10</v>
      </c>
      <c r="AJ33" s="264">
        <v>66</v>
      </c>
      <c r="AK33" s="264">
        <v>0.01</v>
      </c>
      <c r="AL33" s="264">
        <v>26</v>
      </c>
      <c r="AM33" s="264">
        <v>0</v>
      </c>
      <c r="AN33" s="264">
        <v>0</v>
      </c>
      <c r="AO33" s="264">
        <v>0</v>
      </c>
      <c r="AP33" s="264">
        <v>0</v>
      </c>
      <c r="AQ33" s="209">
        <v>0.90485600907029484</v>
      </c>
      <c r="AR33" s="1">
        <v>0</v>
      </c>
      <c r="AS33" s="206">
        <v>0</v>
      </c>
      <c r="AT33" s="207">
        <v>0</v>
      </c>
      <c r="AU33" s="207">
        <v>0</v>
      </c>
      <c r="AV33" s="207"/>
      <c r="AW33" s="210"/>
      <c r="AX33" s="209"/>
      <c r="AY33" s="216"/>
      <c r="AZ33" s="216"/>
      <c r="BA33" s="313"/>
      <c r="BB33" s="314"/>
      <c r="BC33" s="314"/>
      <c r="BD33" s="314"/>
      <c r="BE33" s="314"/>
      <c r="BF33" s="314"/>
      <c r="BG33" s="314"/>
      <c r="BH33" s="314"/>
      <c r="BI33" s="315"/>
    </row>
    <row r="34" spans="2:61" s="1" customFormat="1" ht="20.05" customHeight="1" x14ac:dyDescent="0.6">
      <c r="B34" s="303"/>
      <c r="C34" s="298"/>
      <c r="D34" s="299"/>
      <c r="E34" s="300"/>
      <c r="G34" s="267" t="s">
        <v>53</v>
      </c>
      <c r="H34" s="241" t="s">
        <v>39</v>
      </c>
      <c r="I34" s="267" t="s">
        <v>136</v>
      </c>
      <c r="J34" s="241">
        <v>3</v>
      </c>
      <c r="K34" s="241">
        <v>0.5</v>
      </c>
      <c r="L34" s="242">
        <v>0.5</v>
      </c>
      <c r="M34" s="268">
        <v>2600</v>
      </c>
      <c r="N34" s="268">
        <v>50</v>
      </c>
      <c r="O34" s="269">
        <v>0</v>
      </c>
      <c r="P34" s="270" t="s">
        <v>170</v>
      </c>
      <c r="Q34" s="268">
        <f>VLOOKUP(P34,'Listen und Kennwerte'!$B$4:$O$11,2,FALSE)</f>
        <v>28</v>
      </c>
      <c r="R34" s="268">
        <f>VLOOKUP(P34,'Listen und Kennwerte'!$B$4:$O$11,2,FALSE)</f>
        <v>28</v>
      </c>
      <c r="S34" s="271">
        <f>VLOOKUP(P34,'Listen und Kennwerte'!$B$4:$O$11,8,FALSE)</f>
        <v>12600</v>
      </c>
      <c r="T34" s="271">
        <f>VLOOKUP(P34,'Listen und Kennwerte'!$B$4:$O$11,9,FALSE)</f>
        <v>10500</v>
      </c>
      <c r="U34" s="271">
        <f>VLOOKUP(P34,'Listen und Kennwerte'!$B$4:$O$11,12,FALSE)</f>
        <v>540</v>
      </c>
      <c r="V34" s="272">
        <v>0.6</v>
      </c>
      <c r="W34" s="242">
        <v>1.3</v>
      </c>
      <c r="X34" s="230"/>
      <c r="Y34" s="273">
        <v>20.78</v>
      </c>
      <c r="Z34" s="274">
        <v>0.34</v>
      </c>
      <c r="AA34" s="274">
        <v>1</v>
      </c>
      <c r="AB34" s="274">
        <v>1</v>
      </c>
      <c r="AC34" s="276">
        <v>10400</v>
      </c>
      <c r="AD34" s="276">
        <v>2400</v>
      </c>
      <c r="AE34" s="276">
        <v>0</v>
      </c>
      <c r="AF34" s="213">
        <v>0.99</v>
      </c>
      <c r="AG34" s="277" t="s">
        <v>304</v>
      </c>
      <c r="AH34" s="239"/>
      <c r="AI34" s="273">
        <v>10</v>
      </c>
      <c r="AJ34" s="275">
        <v>76</v>
      </c>
      <c r="AK34" s="275">
        <v>0.01</v>
      </c>
      <c r="AL34" s="275">
        <v>26</v>
      </c>
      <c r="AM34" s="275">
        <v>0</v>
      </c>
      <c r="AN34" s="275">
        <v>0</v>
      </c>
      <c r="AO34" s="275">
        <v>0</v>
      </c>
      <c r="AP34" s="275">
        <v>0</v>
      </c>
      <c r="AQ34" s="214">
        <v>0.94385600907029477</v>
      </c>
      <c r="AR34" s="1">
        <v>0</v>
      </c>
      <c r="AS34" s="211">
        <v>0</v>
      </c>
      <c r="AT34" s="212">
        <v>0</v>
      </c>
      <c r="AU34" s="212">
        <v>0</v>
      </c>
      <c r="AV34" s="212"/>
      <c r="AW34" s="215"/>
      <c r="AX34" s="214"/>
      <c r="AY34" s="216"/>
      <c r="AZ34" s="216"/>
      <c r="BA34" s="313"/>
      <c r="BB34" s="314"/>
      <c r="BC34" s="314"/>
      <c r="BD34" s="314"/>
      <c r="BE34" s="314"/>
      <c r="BF34" s="314"/>
      <c r="BG34" s="314"/>
      <c r="BH34" s="314"/>
      <c r="BI34" s="315"/>
    </row>
    <row r="35" spans="2:61" s="1" customFormat="1" ht="20.05" customHeight="1" x14ac:dyDescent="0.6">
      <c r="B35" s="303" t="s">
        <v>270</v>
      </c>
      <c r="C35" s="298"/>
      <c r="D35" s="299"/>
      <c r="E35" s="300"/>
      <c r="G35" s="254" t="s">
        <v>54</v>
      </c>
      <c r="H35" s="255" t="s">
        <v>39</v>
      </c>
      <c r="I35" s="254" t="s">
        <v>136</v>
      </c>
      <c r="J35" s="255">
        <v>3</v>
      </c>
      <c r="K35" s="255">
        <v>0.5</v>
      </c>
      <c r="L35" s="256">
        <v>0.5</v>
      </c>
      <c r="M35" s="257">
        <v>2600</v>
      </c>
      <c r="N35" s="257">
        <v>60</v>
      </c>
      <c r="O35" s="258">
        <v>0</v>
      </c>
      <c r="P35" s="259" t="s">
        <v>170</v>
      </c>
      <c r="Q35" s="257">
        <f>VLOOKUP(P35,'Listen und Kennwerte'!$B$4:$O$11,2,FALSE)</f>
        <v>28</v>
      </c>
      <c r="R35" s="257">
        <f>VLOOKUP(P35,'Listen und Kennwerte'!$B$4:$O$11,2,FALSE)</f>
        <v>28</v>
      </c>
      <c r="S35" s="260">
        <f>VLOOKUP(P35,'Listen und Kennwerte'!$B$4:$O$11,8,FALSE)</f>
        <v>12600</v>
      </c>
      <c r="T35" s="260">
        <f>VLOOKUP(P35,'Listen und Kennwerte'!$B$4:$O$11,9,FALSE)</f>
        <v>10500</v>
      </c>
      <c r="U35" s="260">
        <f>VLOOKUP(P35,'Listen und Kennwerte'!$B$4:$O$11,12,FALSE)</f>
        <v>540</v>
      </c>
      <c r="V35" s="261">
        <v>0.6</v>
      </c>
      <c r="W35" s="256">
        <v>1.3</v>
      </c>
      <c r="X35" s="230"/>
      <c r="Y35" s="262">
        <v>20.78</v>
      </c>
      <c r="Z35" s="263">
        <v>0.34</v>
      </c>
      <c r="AA35" s="263">
        <v>1</v>
      </c>
      <c r="AB35" s="263">
        <v>1</v>
      </c>
      <c r="AC35" s="265">
        <v>10400</v>
      </c>
      <c r="AD35" s="265">
        <v>2880</v>
      </c>
      <c r="AE35" s="265">
        <v>0</v>
      </c>
      <c r="AF35" s="208">
        <v>1.03</v>
      </c>
      <c r="AG35" s="266" t="s">
        <v>304</v>
      </c>
      <c r="AH35" s="239"/>
      <c r="AI35" s="262">
        <v>10</v>
      </c>
      <c r="AJ35" s="264">
        <v>86</v>
      </c>
      <c r="AK35" s="264">
        <v>0.01</v>
      </c>
      <c r="AL35" s="264">
        <v>26</v>
      </c>
      <c r="AM35" s="264">
        <v>0</v>
      </c>
      <c r="AN35" s="264">
        <v>0</v>
      </c>
      <c r="AO35" s="264">
        <v>0</v>
      </c>
      <c r="AP35" s="264">
        <v>0</v>
      </c>
      <c r="AQ35" s="209">
        <v>0.98281886621315206</v>
      </c>
      <c r="AR35" s="1">
        <v>0</v>
      </c>
      <c r="AS35" s="206">
        <v>0</v>
      </c>
      <c r="AT35" s="207">
        <v>0</v>
      </c>
      <c r="AU35" s="207">
        <v>0</v>
      </c>
      <c r="AV35" s="207"/>
      <c r="AW35" s="210"/>
      <c r="AX35" s="209"/>
      <c r="AY35" s="216"/>
      <c r="AZ35" s="216"/>
      <c r="BA35" s="313"/>
      <c r="BB35" s="314"/>
      <c r="BC35" s="314"/>
      <c r="BD35" s="314"/>
      <c r="BE35" s="314"/>
      <c r="BF35" s="314"/>
      <c r="BG35" s="314"/>
      <c r="BH35" s="314"/>
      <c r="BI35" s="315"/>
    </row>
    <row r="36" spans="2:61" s="1" customFormat="1" ht="20.05" customHeight="1" x14ac:dyDescent="0.6">
      <c r="B36" s="303" t="s">
        <v>267</v>
      </c>
      <c r="C36" s="298"/>
      <c r="D36" s="302">
        <v>0.3</v>
      </c>
      <c r="E36" s="300" t="s">
        <v>40</v>
      </c>
      <c r="G36" s="267" t="s">
        <v>56</v>
      </c>
      <c r="H36" s="241" t="s">
        <v>39</v>
      </c>
      <c r="I36" s="267" t="s">
        <v>136</v>
      </c>
      <c r="J36" s="241">
        <v>3</v>
      </c>
      <c r="K36" s="241">
        <v>0.5</v>
      </c>
      <c r="L36" s="242">
        <v>0.5</v>
      </c>
      <c r="M36" s="268">
        <v>2600</v>
      </c>
      <c r="N36" s="268">
        <v>70</v>
      </c>
      <c r="O36" s="269">
        <v>0</v>
      </c>
      <c r="P36" s="270" t="s">
        <v>170</v>
      </c>
      <c r="Q36" s="268">
        <f>VLOOKUP(P36,'Listen und Kennwerte'!$B$4:$O$11,2,FALSE)</f>
        <v>28</v>
      </c>
      <c r="R36" s="268">
        <f>VLOOKUP(P36,'Listen und Kennwerte'!$B$4:$O$11,2,FALSE)</f>
        <v>28</v>
      </c>
      <c r="S36" s="271">
        <f>VLOOKUP(P36,'Listen und Kennwerte'!$B$4:$O$11,8,FALSE)</f>
        <v>12600</v>
      </c>
      <c r="T36" s="271">
        <f>VLOOKUP(P36,'Listen und Kennwerte'!$B$4:$O$11,9,FALSE)</f>
        <v>10500</v>
      </c>
      <c r="U36" s="271">
        <f>VLOOKUP(P36,'Listen und Kennwerte'!$B$4:$O$11,12,FALSE)</f>
        <v>540</v>
      </c>
      <c r="V36" s="272">
        <v>0.6</v>
      </c>
      <c r="W36" s="242">
        <v>1.3</v>
      </c>
      <c r="X36" s="230"/>
      <c r="Y36" s="273">
        <v>20.78</v>
      </c>
      <c r="Z36" s="274">
        <v>0.34</v>
      </c>
      <c r="AA36" s="274">
        <v>1</v>
      </c>
      <c r="AB36" s="274">
        <v>1</v>
      </c>
      <c r="AC36" s="276">
        <v>10400</v>
      </c>
      <c r="AD36" s="276">
        <v>3360</v>
      </c>
      <c r="AE36" s="276">
        <v>0</v>
      </c>
      <c r="AF36" s="213">
        <v>1.06</v>
      </c>
      <c r="AG36" s="277" t="s">
        <v>304</v>
      </c>
      <c r="AH36" s="239"/>
      <c r="AI36" s="273">
        <v>10</v>
      </c>
      <c r="AJ36" s="275">
        <v>96</v>
      </c>
      <c r="AK36" s="275">
        <v>0.01</v>
      </c>
      <c r="AL36" s="275">
        <v>26</v>
      </c>
      <c r="AM36" s="275">
        <v>0</v>
      </c>
      <c r="AN36" s="275">
        <v>0</v>
      </c>
      <c r="AO36" s="275">
        <v>0</v>
      </c>
      <c r="AP36" s="275">
        <v>0</v>
      </c>
      <c r="AQ36" s="214">
        <v>1.0217817233560091</v>
      </c>
      <c r="AR36" s="1">
        <v>0</v>
      </c>
      <c r="AS36" s="211">
        <v>0</v>
      </c>
      <c r="AT36" s="212">
        <v>0</v>
      </c>
      <c r="AU36" s="212">
        <v>0</v>
      </c>
      <c r="AV36" s="212"/>
      <c r="AW36" s="215"/>
      <c r="AX36" s="214"/>
      <c r="AY36" s="216"/>
      <c r="AZ36" s="216"/>
      <c r="BA36" s="313"/>
      <c r="BB36" s="314"/>
      <c r="BC36" s="314"/>
      <c r="BD36" s="314"/>
      <c r="BE36" s="314"/>
      <c r="BF36" s="314"/>
      <c r="BG36" s="314"/>
      <c r="BH36" s="314"/>
      <c r="BI36" s="315"/>
    </row>
    <row r="37" spans="2:61" s="1" customFormat="1" ht="20.05" customHeight="1" x14ac:dyDescent="0.6">
      <c r="B37" s="303" t="s">
        <v>268</v>
      </c>
      <c r="C37" s="298"/>
      <c r="D37" s="302">
        <v>0.8</v>
      </c>
      <c r="E37" s="300" t="s">
        <v>40</v>
      </c>
      <c r="G37" s="254" t="s">
        <v>57</v>
      </c>
      <c r="H37" s="255" t="s">
        <v>39</v>
      </c>
      <c r="I37" s="254" t="s">
        <v>136</v>
      </c>
      <c r="J37" s="255">
        <v>3</v>
      </c>
      <c r="K37" s="255">
        <v>0.5</v>
      </c>
      <c r="L37" s="256">
        <v>0.5</v>
      </c>
      <c r="M37" s="257">
        <v>2600</v>
      </c>
      <c r="N37" s="257">
        <v>80</v>
      </c>
      <c r="O37" s="258">
        <v>0</v>
      </c>
      <c r="P37" s="259" t="s">
        <v>170</v>
      </c>
      <c r="Q37" s="257">
        <f>VLOOKUP(P37,'Listen und Kennwerte'!$B$4:$O$11,2,FALSE)</f>
        <v>28</v>
      </c>
      <c r="R37" s="257">
        <f>VLOOKUP(P37,'Listen und Kennwerte'!$B$4:$O$11,2,FALSE)</f>
        <v>28</v>
      </c>
      <c r="S37" s="260">
        <f>VLOOKUP(P37,'Listen und Kennwerte'!$B$4:$O$11,8,FALSE)</f>
        <v>12600</v>
      </c>
      <c r="T37" s="260">
        <f>VLOOKUP(P37,'Listen und Kennwerte'!$B$4:$O$11,9,FALSE)</f>
        <v>10500</v>
      </c>
      <c r="U37" s="260">
        <f>VLOOKUP(P37,'Listen und Kennwerte'!$B$4:$O$11,12,FALSE)</f>
        <v>540</v>
      </c>
      <c r="V37" s="261">
        <v>0.6</v>
      </c>
      <c r="W37" s="256">
        <v>1.3</v>
      </c>
      <c r="X37" s="230"/>
      <c r="Y37" s="262">
        <v>20.78</v>
      </c>
      <c r="Z37" s="263">
        <v>0.34</v>
      </c>
      <c r="AA37" s="263">
        <v>1</v>
      </c>
      <c r="AB37" s="263">
        <v>1</v>
      </c>
      <c r="AC37" s="265">
        <v>10400</v>
      </c>
      <c r="AD37" s="265">
        <v>3840</v>
      </c>
      <c r="AE37" s="265">
        <v>0</v>
      </c>
      <c r="AF37" s="208">
        <v>1.1000000000000001</v>
      </c>
      <c r="AG37" s="266" t="s">
        <v>304</v>
      </c>
      <c r="AH37" s="239"/>
      <c r="AI37" s="262">
        <v>0</v>
      </c>
      <c r="AJ37" s="264">
        <v>80</v>
      </c>
      <c r="AK37" s="264">
        <v>0</v>
      </c>
      <c r="AL37" s="264">
        <v>80</v>
      </c>
      <c r="AM37" s="264">
        <v>10</v>
      </c>
      <c r="AN37" s="264">
        <v>26</v>
      </c>
      <c r="AO37" s="264">
        <v>0.01</v>
      </c>
      <c r="AP37" s="264">
        <v>26</v>
      </c>
      <c r="AQ37" s="209">
        <v>1.0607817233560091</v>
      </c>
      <c r="AR37" s="1">
        <v>27.28</v>
      </c>
      <c r="AS37" s="206">
        <v>27.28</v>
      </c>
      <c r="AT37" s="207">
        <v>27.28</v>
      </c>
      <c r="AU37" s="207">
        <v>27.28</v>
      </c>
      <c r="AV37" s="207"/>
      <c r="AW37" s="210"/>
      <c r="AX37" s="209"/>
      <c r="AY37" s="216"/>
      <c r="AZ37" s="216"/>
      <c r="BA37" s="313"/>
      <c r="BB37" s="314"/>
      <c r="BC37" s="314"/>
      <c r="BD37" s="314"/>
      <c r="BE37" s="314"/>
      <c r="BF37" s="314"/>
      <c r="BG37" s="314"/>
      <c r="BH37" s="314"/>
      <c r="BI37" s="315"/>
    </row>
    <row r="38" spans="2:61" s="1" customFormat="1" ht="20.05" customHeight="1" x14ac:dyDescent="0.6">
      <c r="B38" s="303" t="s">
        <v>283</v>
      </c>
      <c r="C38" s="298"/>
      <c r="D38" s="302">
        <v>0.05</v>
      </c>
      <c r="E38" s="300" t="s">
        <v>40</v>
      </c>
      <c r="G38" s="267" t="s">
        <v>58</v>
      </c>
      <c r="H38" s="241" t="s">
        <v>39</v>
      </c>
      <c r="I38" s="267" t="s">
        <v>136</v>
      </c>
      <c r="J38" s="241">
        <v>3</v>
      </c>
      <c r="K38" s="241">
        <v>0.5</v>
      </c>
      <c r="L38" s="242">
        <v>0.5</v>
      </c>
      <c r="M38" s="268">
        <v>2600</v>
      </c>
      <c r="N38" s="268">
        <v>90</v>
      </c>
      <c r="O38" s="269">
        <v>0</v>
      </c>
      <c r="P38" s="270" t="s">
        <v>170</v>
      </c>
      <c r="Q38" s="268">
        <f>VLOOKUP(P38,'Listen und Kennwerte'!$B$4:$O$11,2,FALSE)</f>
        <v>28</v>
      </c>
      <c r="R38" s="268">
        <f>VLOOKUP(P38,'Listen und Kennwerte'!$B$4:$O$11,2,FALSE)</f>
        <v>28</v>
      </c>
      <c r="S38" s="271">
        <f>VLOOKUP(P38,'Listen und Kennwerte'!$B$4:$O$11,8,FALSE)</f>
        <v>12600</v>
      </c>
      <c r="T38" s="271">
        <f>VLOOKUP(P38,'Listen und Kennwerte'!$B$4:$O$11,9,FALSE)</f>
        <v>10500</v>
      </c>
      <c r="U38" s="271">
        <f>VLOOKUP(P38,'Listen und Kennwerte'!$B$4:$O$11,12,FALSE)</f>
        <v>540</v>
      </c>
      <c r="V38" s="272">
        <v>0.6</v>
      </c>
      <c r="W38" s="242">
        <v>1.3</v>
      </c>
      <c r="X38" s="230"/>
      <c r="Y38" s="273">
        <v>20.78</v>
      </c>
      <c r="Z38" s="274">
        <v>0.34</v>
      </c>
      <c r="AA38" s="274">
        <v>1</v>
      </c>
      <c r="AB38" s="274">
        <v>1</v>
      </c>
      <c r="AC38" s="276">
        <v>10400</v>
      </c>
      <c r="AD38" s="276">
        <v>4320</v>
      </c>
      <c r="AE38" s="276">
        <v>0</v>
      </c>
      <c r="AF38" s="213">
        <v>1.1399999999999999</v>
      </c>
      <c r="AG38" s="277" t="s">
        <v>304</v>
      </c>
      <c r="AH38" s="239"/>
      <c r="AI38" s="273">
        <v>10</v>
      </c>
      <c r="AJ38" s="275">
        <v>116</v>
      </c>
      <c r="AK38" s="275">
        <v>0.01</v>
      </c>
      <c r="AL38" s="275">
        <v>26</v>
      </c>
      <c r="AM38" s="275">
        <v>0</v>
      </c>
      <c r="AN38" s="275">
        <v>0</v>
      </c>
      <c r="AO38" s="275">
        <v>0</v>
      </c>
      <c r="AP38" s="275">
        <v>0</v>
      </c>
      <c r="AQ38" s="214">
        <v>1.0997445804988664</v>
      </c>
      <c r="AR38" s="1">
        <v>0</v>
      </c>
      <c r="AS38" s="211">
        <v>0</v>
      </c>
      <c r="AT38" s="212">
        <v>0</v>
      </c>
      <c r="AU38" s="212">
        <v>0</v>
      </c>
      <c r="AV38" s="212"/>
      <c r="AW38" s="215"/>
      <c r="AX38" s="214"/>
      <c r="AY38" s="216"/>
      <c r="AZ38" s="216"/>
      <c r="BA38" s="313"/>
      <c r="BB38" s="314"/>
      <c r="BC38" s="314"/>
      <c r="BD38" s="314"/>
      <c r="BE38" s="314"/>
      <c r="BF38" s="314"/>
      <c r="BG38" s="314"/>
      <c r="BH38" s="314"/>
      <c r="BI38" s="315"/>
    </row>
    <row r="39" spans="2:61" s="1" customFormat="1" ht="20.05" customHeight="1" x14ac:dyDescent="0.6">
      <c r="B39" s="303"/>
      <c r="C39" s="298"/>
      <c r="D39" s="299"/>
      <c r="E39" s="300"/>
      <c r="G39" s="278" t="s">
        <v>59</v>
      </c>
      <c r="H39" s="279" t="s">
        <v>39</v>
      </c>
      <c r="I39" s="278" t="s">
        <v>136</v>
      </c>
      <c r="J39" s="279">
        <v>3</v>
      </c>
      <c r="K39" s="279">
        <v>0.5</v>
      </c>
      <c r="L39" s="280">
        <v>0.5</v>
      </c>
      <c r="M39" s="281">
        <v>2600</v>
      </c>
      <c r="N39" s="281">
        <v>100</v>
      </c>
      <c r="O39" s="282">
        <v>0</v>
      </c>
      <c r="P39" s="283" t="s">
        <v>170</v>
      </c>
      <c r="Q39" s="281">
        <f>VLOOKUP(P39,'Listen und Kennwerte'!$B$4:$O$11,2,FALSE)</f>
        <v>28</v>
      </c>
      <c r="R39" s="281">
        <f>VLOOKUP(P39,'Listen und Kennwerte'!$B$4:$O$11,2,FALSE)</f>
        <v>28</v>
      </c>
      <c r="S39" s="284">
        <f>VLOOKUP(P39,'Listen und Kennwerte'!$B$4:$O$11,8,FALSE)</f>
        <v>12600</v>
      </c>
      <c r="T39" s="284">
        <f>VLOOKUP(P39,'Listen und Kennwerte'!$B$4:$O$11,9,FALSE)</f>
        <v>10500</v>
      </c>
      <c r="U39" s="284">
        <f>VLOOKUP(P39,'Listen und Kennwerte'!$B$4:$O$11,12,FALSE)</f>
        <v>540</v>
      </c>
      <c r="V39" s="285">
        <v>0.6</v>
      </c>
      <c r="W39" s="280">
        <v>1.3</v>
      </c>
      <c r="X39" s="230"/>
      <c r="Y39" s="286">
        <v>20.78</v>
      </c>
      <c r="Z39" s="287">
        <v>0.34</v>
      </c>
      <c r="AA39" s="287">
        <v>1</v>
      </c>
      <c r="AB39" s="287">
        <v>1</v>
      </c>
      <c r="AC39" s="289">
        <v>10400</v>
      </c>
      <c r="AD39" s="289">
        <v>4800</v>
      </c>
      <c r="AE39" s="289">
        <v>0</v>
      </c>
      <c r="AF39" s="217">
        <v>1.18</v>
      </c>
      <c r="AG39" s="290" t="s">
        <v>304</v>
      </c>
      <c r="AH39" s="239"/>
      <c r="AI39" s="286">
        <v>10</v>
      </c>
      <c r="AJ39" s="288">
        <v>126</v>
      </c>
      <c r="AK39" s="288">
        <v>0.01</v>
      </c>
      <c r="AL39" s="288">
        <v>26</v>
      </c>
      <c r="AM39" s="288">
        <v>0</v>
      </c>
      <c r="AN39" s="288">
        <v>0</v>
      </c>
      <c r="AO39" s="288">
        <v>0</v>
      </c>
      <c r="AP39" s="288">
        <v>0</v>
      </c>
      <c r="AQ39" s="218">
        <v>1.1387074376417234</v>
      </c>
      <c r="AR39" s="1">
        <v>0</v>
      </c>
      <c r="AS39" s="206">
        <v>0</v>
      </c>
      <c r="AT39" s="207">
        <v>0</v>
      </c>
      <c r="AU39" s="207">
        <v>0</v>
      </c>
      <c r="AV39" s="207"/>
      <c r="AW39" s="210"/>
      <c r="AX39" s="209"/>
      <c r="AY39" s="216"/>
      <c r="AZ39" s="216"/>
      <c r="BA39" s="316"/>
      <c r="BB39" s="317"/>
      <c r="BC39" s="317"/>
      <c r="BD39" s="317"/>
      <c r="BE39" s="317"/>
      <c r="BF39" s="317"/>
      <c r="BG39" s="317"/>
      <c r="BH39" s="317"/>
      <c r="BI39" s="318"/>
    </row>
    <row r="40" spans="2:61" s="1" customFormat="1" ht="20.05" customHeight="1" x14ac:dyDescent="0.6">
      <c r="B40" s="303" t="s">
        <v>271</v>
      </c>
      <c r="C40" s="298"/>
      <c r="D40" s="299"/>
      <c r="E40" s="300"/>
      <c r="G40" s="240" t="s">
        <v>45</v>
      </c>
      <c r="H40" s="241" t="s">
        <v>39</v>
      </c>
      <c r="I40" s="267" t="s">
        <v>136</v>
      </c>
      <c r="J40" s="241">
        <v>3</v>
      </c>
      <c r="K40" s="241">
        <v>0.5</v>
      </c>
      <c r="L40" s="242">
        <v>0.5</v>
      </c>
      <c r="M40" s="292">
        <v>2600</v>
      </c>
      <c r="N40" s="243">
        <v>10</v>
      </c>
      <c r="O40" s="244">
        <v>10</v>
      </c>
      <c r="P40" s="270" t="s">
        <v>170</v>
      </c>
      <c r="Q40" s="268">
        <f>VLOOKUP(P40,'Listen und Kennwerte'!$B$4:$O$11,2,FALSE)</f>
        <v>28</v>
      </c>
      <c r="R40" s="268">
        <f>VLOOKUP(P40,'Listen und Kennwerte'!$B$4:$O$11,2,FALSE)</f>
        <v>28</v>
      </c>
      <c r="S40" s="271">
        <f>VLOOKUP(P40,'Listen und Kennwerte'!$B$4:$O$11,8,FALSE)</f>
        <v>12600</v>
      </c>
      <c r="T40" s="271">
        <f>VLOOKUP(P40,'Listen und Kennwerte'!$B$4:$O$11,9,FALSE)</f>
        <v>10500</v>
      </c>
      <c r="U40" s="271">
        <f>VLOOKUP(P40,'Listen und Kennwerte'!$B$4:$O$11,12,FALSE)</f>
        <v>540</v>
      </c>
      <c r="V40" s="272">
        <v>0.6</v>
      </c>
      <c r="W40" s="242">
        <v>1.3</v>
      </c>
      <c r="X40" s="230"/>
      <c r="Y40" s="273">
        <v>20.78</v>
      </c>
      <c r="Z40" s="274">
        <v>0.34</v>
      </c>
      <c r="AA40" s="274">
        <v>1</v>
      </c>
      <c r="AB40" s="274">
        <v>1</v>
      </c>
      <c r="AC40" s="276">
        <v>10400</v>
      </c>
      <c r="AD40" s="276">
        <v>480</v>
      </c>
      <c r="AE40" s="276">
        <v>480</v>
      </c>
      <c r="AF40" s="213">
        <v>0.87</v>
      </c>
      <c r="AG40" s="277" t="s">
        <v>304</v>
      </c>
      <c r="AH40" s="239"/>
      <c r="AI40" s="273">
        <v>10</v>
      </c>
      <c r="AJ40" s="275">
        <v>36</v>
      </c>
      <c r="AK40" s="275">
        <v>0.01</v>
      </c>
      <c r="AL40" s="275">
        <v>36</v>
      </c>
      <c r="AM40" s="275">
        <v>0</v>
      </c>
      <c r="AN40" s="275">
        <v>10</v>
      </c>
      <c r="AO40" s="275">
        <v>0</v>
      </c>
      <c r="AP40" s="275">
        <v>10</v>
      </c>
      <c r="AQ40" s="214">
        <v>0.81520429478458056</v>
      </c>
      <c r="AR40" s="1">
        <v>10.49</v>
      </c>
      <c r="AS40" s="211">
        <v>10.49</v>
      </c>
      <c r="AT40" s="212">
        <v>10.49</v>
      </c>
      <c r="AU40" s="212">
        <v>10.49</v>
      </c>
      <c r="AV40" s="212"/>
      <c r="AW40" s="215"/>
      <c r="AX40" s="214"/>
      <c r="AY40" s="216"/>
      <c r="AZ40" s="216"/>
      <c r="BA40" s="319"/>
      <c r="BB40" s="320"/>
      <c r="BC40" s="320"/>
      <c r="BD40" s="320"/>
      <c r="BE40" s="320"/>
      <c r="BF40" s="320"/>
      <c r="BG40" s="320"/>
      <c r="BH40" s="320"/>
      <c r="BI40" s="321"/>
    </row>
    <row r="41" spans="2:61" s="1" customFormat="1" ht="20.05" customHeight="1" x14ac:dyDescent="0.6">
      <c r="B41" s="303" t="s">
        <v>267</v>
      </c>
      <c r="C41" s="298"/>
      <c r="D41" s="302">
        <v>0.9</v>
      </c>
      <c r="E41" s="300"/>
      <c r="G41" s="254" t="s">
        <v>50</v>
      </c>
      <c r="H41" s="255" t="s">
        <v>39</v>
      </c>
      <c r="I41" s="254" t="s">
        <v>136</v>
      </c>
      <c r="J41" s="255">
        <v>3</v>
      </c>
      <c r="K41" s="255">
        <v>0.5</v>
      </c>
      <c r="L41" s="256">
        <v>0.5</v>
      </c>
      <c r="M41" s="293">
        <v>2600</v>
      </c>
      <c r="N41" s="257">
        <v>20</v>
      </c>
      <c r="O41" s="258">
        <v>20</v>
      </c>
      <c r="P41" s="259" t="s">
        <v>170</v>
      </c>
      <c r="Q41" s="257">
        <f>VLOOKUP(P41,'Listen und Kennwerte'!$B$4:$O$11,2,FALSE)</f>
        <v>28</v>
      </c>
      <c r="R41" s="257">
        <f>VLOOKUP(P41,'Listen und Kennwerte'!$B$4:$O$11,2,FALSE)</f>
        <v>28</v>
      </c>
      <c r="S41" s="260">
        <f>VLOOKUP(P41,'Listen und Kennwerte'!$B$4:$O$11,8,FALSE)</f>
        <v>12600</v>
      </c>
      <c r="T41" s="260">
        <f>VLOOKUP(P41,'Listen und Kennwerte'!$B$4:$O$11,9,FALSE)</f>
        <v>10500</v>
      </c>
      <c r="U41" s="260">
        <f>VLOOKUP(P41,'Listen und Kennwerte'!$B$4:$O$11,12,FALSE)</f>
        <v>540</v>
      </c>
      <c r="V41" s="261">
        <v>0.6</v>
      </c>
      <c r="W41" s="256">
        <v>1.3</v>
      </c>
      <c r="X41" s="230"/>
      <c r="Y41" s="262">
        <v>20.78</v>
      </c>
      <c r="Z41" s="263">
        <v>0.34</v>
      </c>
      <c r="AA41" s="263">
        <v>1</v>
      </c>
      <c r="AB41" s="263">
        <v>1</v>
      </c>
      <c r="AC41" s="265">
        <v>10400</v>
      </c>
      <c r="AD41" s="265">
        <v>960</v>
      </c>
      <c r="AE41" s="265">
        <v>960</v>
      </c>
      <c r="AF41" s="208">
        <v>0.93</v>
      </c>
      <c r="AG41" s="266" t="s">
        <v>304</v>
      </c>
      <c r="AH41" s="239"/>
      <c r="AI41" s="262">
        <v>10</v>
      </c>
      <c r="AJ41" s="264">
        <v>46</v>
      </c>
      <c r="AK41" s="264">
        <v>0.01</v>
      </c>
      <c r="AL41" s="264">
        <v>46</v>
      </c>
      <c r="AM41" s="264">
        <v>0</v>
      </c>
      <c r="AN41" s="264">
        <v>20</v>
      </c>
      <c r="AO41" s="264">
        <v>0</v>
      </c>
      <c r="AP41" s="264">
        <v>20</v>
      </c>
      <c r="AQ41" s="209">
        <v>0.88144115192743777</v>
      </c>
      <c r="AR41" s="1">
        <v>20.98</v>
      </c>
      <c r="AS41" s="206">
        <v>20.98</v>
      </c>
      <c r="AT41" s="207">
        <v>20.98</v>
      </c>
      <c r="AU41" s="207">
        <v>20.98</v>
      </c>
      <c r="AV41" s="207"/>
      <c r="AW41" s="210"/>
      <c r="AX41" s="209"/>
      <c r="AY41" s="216"/>
      <c r="AZ41" s="216"/>
      <c r="BA41" s="313"/>
      <c r="BB41" s="314"/>
      <c r="BC41" s="314"/>
      <c r="BD41" s="314"/>
      <c r="BE41" s="314"/>
      <c r="BF41" s="314"/>
      <c r="BG41" s="314"/>
      <c r="BH41" s="314"/>
      <c r="BI41" s="315"/>
    </row>
    <row r="42" spans="2:61" s="1" customFormat="1" ht="20.05" customHeight="1" x14ac:dyDescent="0.6">
      <c r="B42" s="303" t="s">
        <v>268</v>
      </c>
      <c r="C42" s="298"/>
      <c r="D42" s="302">
        <v>0.8</v>
      </c>
      <c r="E42" s="300"/>
      <c r="G42" s="267" t="s">
        <v>51</v>
      </c>
      <c r="H42" s="241" t="s">
        <v>39</v>
      </c>
      <c r="I42" s="267" t="s">
        <v>136</v>
      </c>
      <c r="J42" s="241">
        <v>3</v>
      </c>
      <c r="K42" s="241">
        <v>0.5</v>
      </c>
      <c r="L42" s="242">
        <v>0.5</v>
      </c>
      <c r="M42" s="294">
        <v>2600</v>
      </c>
      <c r="N42" s="268">
        <v>30</v>
      </c>
      <c r="O42" s="269">
        <v>30</v>
      </c>
      <c r="P42" s="270" t="s">
        <v>170</v>
      </c>
      <c r="Q42" s="268">
        <f>VLOOKUP(P42,'Listen und Kennwerte'!$B$4:$O$11,2,FALSE)</f>
        <v>28</v>
      </c>
      <c r="R42" s="268">
        <f>VLOOKUP(P42,'Listen und Kennwerte'!$B$4:$O$11,2,FALSE)</f>
        <v>28</v>
      </c>
      <c r="S42" s="271">
        <f>VLOOKUP(P42,'Listen und Kennwerte'!$B$4:$O$11,8,FALSE)</f>
        <v>12600</v>
      </c>
      <c r="T42" s="271">
        <f>VLOOKUP(P42,'Listen und Kennwerte'!$B$4:$O$11,9,FALSE)</f>
        <v>10500</v>
      </c>
      <c r="U42" s="271">
        <f>VLOOKUP(P42,'Listen und Kennwerte'!$B$4:$O$11,12,FALSE)</f>
        <v>540</v>
      </c>
      <c r="V42" s="272">
        <v>0.6</v>
      </c>
      <c r="W42" s="242">
        <v>1.3</v>
      </c>
      <c r="X42" s="230"/>
      <c r="Y42" s="273">
        <v>20.78</v>
      </c>
      <c r="Z42" s="274">
        <v>0.34</v>
      </c>
      <c r="AA42" s="274">
        <v>1</v>
      </c>
      <c r="AB42" s="274">
        <v>1</v>
      </c>
      <c r="AC42" s="276">
        <v>10400</v>
      </c>
      <c r="AD42" s="276">
        <v>1440</v>
      </c>
      <c r="AE42" s="276">
        <v>1440</v>
      </c>
      <c r="AF42" s="213">
        <v>0.99</v>
      </c>
      <c r="AG42" s="277" t="s">
        <v>304</v>
      </c>
      <c r="AH42" s="239"/>
      <c r="AI42" s="273">
        <v>10</v>
      </c>
      <c r="AJ42" s="275">
        <v>56</v>
      </c>
      <c r="AK42" s="275">
        <v>0.01</v>
      </c>
      <c r="AL42" s="275">
        <v>56</v>
      </c>
      <c r="AM42" s="275">
        <v>0</v>
      </c>
      <c r="AN42" s="275">
        <v>30</v>
      </c>
      <c r="AO42" s="275">
        <v>0</v>
      </c>
      <c r="AP42" s="275">
        <v>30</v>
      </c>
      <c r="AQ42" s="214">
        <v>0.94774115192743769</v>
      </c>
      <c r="AR42" s="1">
        <v>31.48</v>
      </c>
      <c r="AS42" s="211">
        <v>31.48</v>
      </c>
      <c r="AT42" s="212">
        <v>31.48</v>
      </c>
      <c r="AU42" s="212">
        <v>31.48</v>
      </c>
      <c r="AV42" s="212"/>
      <c r="AW42" s="215"/>
      <c r="AX42" s="214"/>
      <c r="AY42" s="216"/>
      <c r="AZ42" s="216"/>
      <c r="BA42" s="313"/>
      <c r="BB42" s="314"/>
      <c r="BC42" s="314"/>
      <c r="BD42" s="314"/>
      <c r="BE42" s="314"/>
      <c r="BF42" s="314"/>
      <c r="BG42" s="314"/>
      <c r="BH42" s="314"/>
      <c r="BI42" s="315"/>
    </row>
    <row r="43" spans="2:61" s="1" customFormat="1" ht="20.05" customHeight="1" x14ac:dyDescent="0.6">
      <c r="B43" s="303"/>
      <c r="C43" s="298"/>
      <c r="D43" s="299"/>
      <c r="E43" s="300"/>
      <c r="G43" s="254" t="s">
        <v>52</v>
      </c>
      <c r="H43" s="255" t="s">
        <v>39</v>
      </c>
      <c r="I43" s="254" t="s">
        <v>136</v>
      </c>
      <c r="J43" s="255">
        <v>3</v>
      </c>
      <c r="K43" s="255">
        <v>0.5</v>
      </c>
      <c r="L43" s="256">
        <v>0.5</v>
      </c>
      <c r="M43" s="293">
        <v>2600</v>
      </c>
      <c r="N43" s="257">
        <v>40</v>
      </c>
      <c r="O43" s="258">
        <v>40</v>
      </c>
      <c r="P43" s="259" t="s">
        <v>170</v>
      </c>
      <c r="Q43" s="257">
        <f>VLOOKUP(P43,'Listen und Kennwerte'!$B$4:$O$11,2,FALSE)</f>
        <v>28</v>
      </c>
      <c r="R43" s="257">
        <f>VLOOKUP(P43,'Listen und Kennwerte'!$B$4:$O$11,2,FALSE)</f>
        <v>28</v>
      </c>
      <c r="S43" s="260">
        <f>VLOOKUP(P43,'Listen und Kennwerte'!$B$4:$O$11,8,FALSE)</f>
        <v>12600</v>
      </c>
      <c r="T43" s="260">
        <f>VLOOKUP(P43,'Listen und Kennwerte'!$B$4:$O$11,9,FALSE)</f>
        <v>10500</v>
      </c>
      <c r="U43" s="260">
        <f>VLOOKUP(P43,'Listen und Kennwerte'!$B$4:$O$11,12,FALSE)</f>
        <v>540</v>
      </c>
      <c r="V43" s="261">
        <v>0.6</v>
      </c>
      <c r="W43" s="256">
        <v>1.3</v>
      </c>
      <c r="X43" s="230"/>
      <c r="Y43" s="262">
        <v>20.78</v>
      </c>
      <c r="Z43" s="263">
        <v>0.34</v>
      </c>
      <c r="AA43" s="263">
        <v>1</v>
      </c>
      <c r="AB43" s="263">
        <v>1</v>
      </c>
      <c r="AC43" s="265">
        <v>10400</v>
      </c>
      <c r="AD43" s="265">
        <v>1920</v>
      </c>
      <c r="AE43" s="265">
        <v>1920</v>
      </c>
      <c r="AF43" s="208">
        <v>1.06</v>
      </c>
      <c r="AG43" s="266" t="s">
        <v>304</v>
      </c>
      <c r="AH43" s="239"/>
      <c r="AI43" s="262">
        <v>10</v>
      </c>
      <c r="AJ43" s="264">
        <v>66</v>
      </c>
      <c r="AK43" s="264">
        <v>0.01</v>
      </c>
      <c r="AL43" s="264">
        <v>66</v>
      </c>
      <c r="AM43" s="264">
        <v>0</v>
      </c>
      <c r="AN43" s="264">
        <v>40</v>
      </c>
      <c r="AO43" s="264">
        <v>0</v>
      </c>
      <c r="AP43" s="264">
        <v>40</v>
      </c>
      <c r="AQ43" s="209">
        <v>1.0140151519274379</v>
      </c>
      <c r="AR43" s="1">
        <v>41.97</v>
      </c>
      <c r="AS43" s="206">
        <v>41.97</v>
      </c>
      <c r="AT43" s="207">
        <v>41.97</v>
      </c>
      <c r="AU43" s="207">
        <v>41.97</v>
      </c>
      <c r="AV43" s="207"/>
      <c r="AW43" s="210"/>
      <c r="AX43" s="209"/>
      <c r="AY43" s="216"/>
      <c r="AZ43" s="216"/>
      <c r="BA43" s="313"/>
      <c r="BB43" s="314"/>
      <c r="BC43" s="314"/>
      <c r="BD43" s="314"/>
      <c r="BE43" s="314"/>
      <c r="BF43" s="314"/>
      <c r="BG43" s="314"/>
      <c r="BH43" s="314"/>
      <c r="BI43" s="315"/>
    </row>
    <row r="44" spans="2:61" s="1" customFormat="1" ht="20.05" customHeight="1" x14ac:dyDescent="0.6">
      <c r="B44" s="303" t="s">
        <v>299</v>
      </c>
      <c r="C44" s="298"/>
      <c r="D44" s="299"/>
      <c r="E44" s="300"/>
      <c r="G44" s="267" t="s">
        <v>53</v>
      </c>
      <c r="H44" s="241" t="s">
        <v>39</v>
      </c>
      <c r="I44" s="267" t="s">
        <v>136</v>
      </c>
      <c r="J44" s="241">
        <v>3</v>
      </c>
      <c r="K44" s="241">
        <v>0.5</v>
      </c>
      <c r="L44" s="242">
        <v>0.5</v>
      </c>
      <c r="M44" s="294">
        <v>2600</v>
      </c>
      <c r="N44" s="268">
        <v>50</v>
      </c>
      <c r="O44" s="269">
        <v>50</v>
      </c>
      <c r="P44" s="270" t="s">
        <v>170</v>
      </c>
      <c r="Q44" s="268">
        <f>VLOOKUP(P44,'Listen und Kennwerte'!$B$4:$O$11,2,FALSE)</f>
        <v>28</v>
      </c>
      <c r="R44" s="268">
        <f>VLOOKUP(P44,'Listen und Kennwerte'!$B$4:$O$11,2,FALSE)</f>
        <v>28</v>
      </c>
      <c r="S44" s="271">
        <f>VLOOKUP(P44,'Listen und Kennwerte'!$B$4:$O$11,8,FALSE)</f>
        <v>12600</v>
      </c>
      <c r="T44" s="271">
        <f>VLOOKUP(P44,'Listen und Kennwerte'!$B$4:$O$11,9,FALSE)</f>
        <v>10500</v>
      </c>
      <c r="U44" s="271">
        <f>VLOOKUP(P44,'Listen und Kennwerte'!$B$4:$O$11,12,FALSE)</f>
        <v>540</v>
      </c>
      <c r="V44" s="272">
        <v>0.6</v>
      </c>
      <c r="W44" s="242">
        <v>1.3</v>
      </c>
      <c r="X44" s="230"/>
      <c r="Y44" s="273">
        <v>20.78</v>
      </c>
      <c r="Z44" s="274">
        <v>0.34</v>
      </c>
      <c r="AA44" s="274">
        <v>1</v>
      </c>
      <c r="AB44" s="274">
        <v>1</v>
      </c>
      <c r="AC44" s="276">
        <v>10400</v>
      </c>
      <c r="AD44" s="276">
        <v>2400</v>
      </c>
      <c r="AE44" s="276">
        <v>2400</v>
      </c>
      <c r="AF44" s="213">
        <v>1.1200000000000001</v>
      </c>
      <c r="AG44" s="277" t="s">
        <v>304</v>
      </c>
      <c r="AH44" s="239"/>
      <c r="AI44" s="273">
        <v>10</v>
      </c>
      <c r="AJ44" s="275">
        <v>76</v>
      </c>
      <c r="AK44" s="275">
        <v>0.01</v>
      </c>
      <c r="AL44" s="275">
        <v>76</v>
      </c>
      <c r="AM44" s="275">
        <v>0</v>
      </c>
      <c r="AN44" s="275">
        <v>50</v>
      </c>
      <c r="AO44" s="275">
        <v>0</v>
      </c>
      <c r="AP44" s="275">
        <v>50</v>
      </c>
      <c r="AQ44" s="214">
        <v>1.080278009070295</v>
      </c>
      <c r="AR44" s="1">
        <v>52.46</v>
      </c>
      <c r="AS44" s="211">
        <v>52.47</v>
      </c>
      <c r="AT44" s="212">
        <v>52.47</v>
      </c>
      <c r="AU44" s="212">
        <v>52.47</v>
      </c>
      <c r="AV44" s="212"/>
      <c r="AW44" s="215"/>
      <c r="AX44" s="214"/>
      <c r="AY44" s="216"/>
      <c r="AZ44" s="216"/>
      <c r="BA44" s="313"/>
      <c r="BB44" s="314"/>
      <c r="BC44" s="314"/>
      <c r="BD44" s="314"/>
      <c r="BE44" s="314"/>
      <c r="BF44" s="314"/>
      <c r="BG44" s="314"/>
      <c r="BH44" s="314"/>
      <c r="BI44" s="315"/>
    </row>
    <row r="45" spans="2:61" s="1" customFormat="1" ht="20.05" customHeight="1" x14ac:dyDescent="0.6">
      <c r="B45" s="297"/>
      <c r="C45" s="298"/>
      <c r="D45" s="299"/>
      <c r="E45" s="300"/>
      <c r="G45" s="254" t="s">
        <v>54</v>
      </c>
      <c r="H45" s="255" t="s">
        <v>39</v>
      </c>
      <c r="I45" s="254" t="s">
        <v>136</v>
      </c>
      <c r="J45" s="255">
        <v>3</v>
      </c>
      <c r="K45" s="255">
        <v>0.5</v>
      </c>
      <c r="L45" s="256">
        <v>0.5</v>
      </c>
      <c r="M45" s="293">
        <v>2600</v>
      </c>
      <c r="N45" s="257">
        <v>60</v>
      </c>
      <c r="O45" s="258">
        <v>60</v>
      </c>
      <c r="P45" s="259" t="s">
        <v>170</v>
      </c>
      <c r="Q45" s="257">
        <f>VLOOKUP(P45,'Listen und Kennwerte'!$B$4:$O$11,2,FALSE)</f>
        <v>28</v>
      </c>
      <c r="R45" s="257">
        <f>VLOOKUP(P45,'Listen und Kennwerte'!$B$4:$O$11,2,FALSE)</f>
        <v>28</v>
      </c>
      <c r="S45" s="260">
        <f>VLOOKUP(P45,'Listen und Kennwerte'!$B$4:$O$11,8,FALSE)</f>
        <v>12600</v>
      </c>
      <c r="T45" s="260">
        <f>VLOOKUP(P45,'Listen und Kennwerte'!$B$4:$O$11,9,FALSE)</f>
        <v>10500</v>
      </c>
      <c r="U45" s="260">
        <f>VLOOKUP(P45,'Listen und Kennwerte'!$B$4:$O$11,12,FALSE)</f>
        <v>540</v>
      </c>
      <c r="V45" s="261">
        <v>0.6</v>
      </c>
      <c r="W45" s="256">
        <v>1.3</v>
      </c>
      <c r="X45" s="230"/>
      <c r="Y45" s="262">
        <v>20.78</v>
      </c>
      <c r="Z45" s="263">
        <v>0.34</v>
      </c>
      <c r="AA45" s="263">
        <v>1</v>
      </c>
      <c r="AB45" s="263">
        <v>1</v>
      </c>
      <c r="AC45" s="265">
        <v>10400</v>
      </c>
      <c r="AD45" s="265">
        <v>2880</v>
      </c>
      <c r="AE45" s="265">
        <v>2880</v>
      </c>
      <c r="AF45" s="208">
        <v>1.18</v>
      </c>
      <c r="AG45" s="266" t="s">
        <v>304</v>
      </c>
      <c r="AH45" s="239"/>
      <c r="AI45" s="262">
        <v>10</v>
      </c>
      <c r="AJ45" s="264">
        <v>86</v>
      </c>
      <c r="AK45" s="264">
        <v>0.01</v>
      </c>
      <c r="AL45" s="264">
        <v>86</v>
      </c>
      <c r="AM45" s="264">
        <v>0</v>
      </c>
      <c r="AN45" s="264">
        <v>60</v>
      </c>
      <c r="AO45" s="264">
        <v>0</v>
      </c>
      <c r="AP45" s="264">
        <v>60</v>
      </c>
      <c r="AQ45" s="209">
        <v>1.1465148662131519</v>
      </c>
      <c r="AR45" s="1">
        <v>62.95</v>
      </c>
      <c r="AS45" s="206">
        <v>62.96</v>
      </c>
      <c r="AT45" s="207">
        <v>62.96</v>
      </c>
      <c r="AU45" s="207">
        <v>62.96</v>
      </c>
      <c r="AV45" s="207"/>
      <c r="AW45" s="210"/>
      <c r="AX45" s="209"/>
      <c r="AY45" s="216"/>
      <c r="AZ45" s="216"/>
      <c r="BA45" s="313"/>
      <c r="BB45" s="314"/>
      <c r="BC45" s="314"/>
      <c r="BD45" s="314"/>
      <c r="BE45" s="314"/>
      <c r="BF45" s="314"/>
      <c r="BG45" s="314"/>
      <c r="BH45" s="314"/>
      <c r="BI45" s="315"/>
    </row>
    <row r="46" spans="2:61" s="1" customFormat="1" ht="20.05" customHeight="1" x14ac:dyDescent="0.6">
      <c r="B46" s="297" t="s">
        <v>292</v>
      </c>
      <c r="C46" s="298"/>
      <c r="D46" s="299"/>
      <c r="E46" s="300"/>
      <c r="G46" s="267" t="s">
        <v>56</v>
      </c>
      <c r="H46" s="241" t="s">
        <v>39</v>
      </c>
      <c r="I46" s="267" t="s">
        <v>136</v>
      </c>
      <c r="J46" s="241">
        <v>3</v>
      </c>
      <c r="K46" s="241">
        <v>0.5</v>
      </c>
      <c r="L46" s="242">
        <v>0.5</v>
      </c>
      <c r="M46" s="294">
        <v>2600</v>
      </c>
      <c r="N46" s="268">
        <v>70</v>
      </c>
      <c r="O46" s="269">
        <v>70</v>
      </c>
      <c r="P46" s="270" t="s">
        <v>170</v>
      </c>
      <c r="Q46" s="268">
        <f>VLOOKUP(P46,'Listen und Kennwerte'!$B$4:$O$11,2,FALSE)</f>
        <v>28</v>
      </c>
      <c r="R46" s="268">
        <f>VLOOKUP(P46,'Listen und Kennwerte'!$B$4:$O$11,2,FALSE)</f>
        <v>28</v>
      </c>
      <c r="S46" s="271">
        <f>VLOOKUP(P46,'Listen und Kennwerte'!$B$4:$O$11,8,FALSE)</f>
        <v>12600</v>
      </c>
      <c r="T46" s="271">
        <f>VLOOKUP(P46,'Listen und Kennwerte'!$B$4:$O$11,9,FALSE)</f>
        <v>10500</v>
      </c>
      <c r="U46" s="271">
        <f>VLOOKUP(P46,'Listen und Kennwerte'!$B$4:$O$11,12,FALSE)</f>
        <v>540</v>
      </c>
      <c r="V46" s="272">
        <v>0.6</v>
      </c>
      <c r="W46" s="242">
        <v>1.3</v>
      </c>
      <c r="X46" s="230"/>
      <c r="Y46" s="273">
        <v>20.78</v>
      </c>
      <c r="Z46" s="274">
        <v>0.34</v>
      </c>
      <c r="AA46" s="274">
        <v>1</v>
      </c>
      <c r="AB46" s="274">
        <v>1</v>
      </c>
      <c r="AC46" s="276">
        <v>10400</v>
      </c>
      <c r="AD46" s="276">
        <v>3360</v>
      </c>
      <c r="AE46" s="276">
        <v>3360</v>
      </c>
      <c r="AF46" s="213">
        <v>1.25</v>
      </c>
      <c r="AG46" s="277" t="s">
        <v>304</v>
      </c>
      <c r="AH46" s="239"/>
      <c r="AI46" s="273">
        <v>10</v>
      </c>
      <c r="AJ46" s="275">
        <v>96</v>
      </c>
      <c r="AK46" s="275">
        <v>0.01</v>
      </c>
      <c r="AL46" s="275">
        <v>96</v>
      </c>
      <c r="AM46" s="275">
        <v>0</v>
      </c>
      <c r="AN46" s="275">
        <v>70</v>
      </c>
      <c r="AO46" s="275">
        <v>0</v>
      </c>
      <c r="AP46" s="275">
        <v>70</v>
      </c>
      <c r="AQ46" s="214">
        <v>1.2127517233560092</v>
      </c>
      <c r="AR46" s="1">
        <v>73.44</v>
      </c>
      <c r="AS46" s="211">
        <v>73.45</v>
      </c>
      <c r="AT46" s="212">
        <v>73.45</v>
      </c>
      <c r="AU46" s="212">
        <v>73.45</v>
      </c>
      <c r="AV46" s="212"/>
      <c r="AW46" s="215"/>
      <c r="AX46" s="214"/>
      <c r="AY46" s="216"/>
      <c r="AZ46" s="216"/>
      <c r="BA46" s="313"/>
      <c r="BB46" s="314"/>
      <c r="BC46" s="314"/>
      <c r="BD46" s="314"/>
      <c r="BE46" s="314"/>
      <c r="BF46" s="314"/>
      <c r="BG46" s="314"/>
      <c r="BH46" s="314"/>
      <c r="BI46" s="315"/>
    </row>
    <row r="47" spans="2:61" s="1" customFormat="1" ht="20.05" customHeight="1" x14ac:dyDescent="0.6">
      <c r="B47" s="303"/>
      <c r="C47" s="298"/>
      <c r="D47" s="299"/>
      <c r="E47" s="300"/>
      <c r="G47" s="254" t="s">
        <v>57</v>
      </c>
      <c r="H47" s="255" t="s">
        <v>39</v>
      </c>
      <c r="I47" s="254" t="s">
        <v>136</v>
      </c>
      <c r="J47" s="255">
        <v>3</v>
      </c>
      <c r="K47" s="255">
        <v>0.5</v>
      </c>
      <c r="L47" s="256">
        <v>0.5</v>
      </c>
      <c r="M47" s="293">
        <v>2600</v>
      </c>
      <c r="N47" s="257">
        <v>80</v>
      </c>
      <c r="O47" s="258">
        <v>80</v>
      </c>
      <c r="P47" s="259" t="s">
        <v>170</v>
      </c>
      <c r="Q47" s="257">
        <f>VLOOKUP(P47,'Listen und Kennwerte'!$B$4:$O$11,2,FALSE)</f>
        <v>28</v>
      </c>
      <c r="R47" s="257">
        <f>VLOOKUP(P47,'Listen und Kennwerte'!$B$4:$O$11,2,FALSE)</f>
        <v>28</v>
      </c>
      <c r="S47" s="260">
        <f>VLOOKUP(P47,'Listen und Kennwerte'!$B$4:$O$11,8,FALSE)</f>
        <v>12600</v>
      </c>
      <c r="T47" s="260">
        <f>VLOOKUP(P47,'Listen und Kennwerte'!$B$4:$O$11,9,FALSE)</f>
        <v>10500</v>
      </c>
      <c r="U47" s="260">
        <f>VLOOKUP(P47,'Listen und Kennwerte'!$B$4:$O$11,12,FALSE)</f>
        <v>540</v>
      </c>
      <c r="V47" s="261">
        <v>0.6</v>
      </c>
      <c r="W47" s="256">
        <v>1.3</v>
      </c>
      <c r="X47" s="230"/>
      <c r="Y47" s="262">
        <v>20.78</v>
      </c>
      <c r="Z47" s="263">
        <v>0.34</v>
      </c>
      <c r="AA47" s="263">
        <v>1</v>
      </c>
      <c r="AB47" s="263">
        <v>1</v>
      </c>
      <c r="AC47" s="265">
        <v>10400</v>
      </c>
      <c r="AD47" s="265">
        <v>3840</v>
      </c>
      <c r="AE47" s="265">
        <v>3840</v>
      </c>
      <c r="AF47" s="208">
        <v>1.31</v>
      </c>
      <c r="AG47" s="266" t="s">
        <v>304</v>
      </c>
      <c r="AH47" s="239"/>
      <c r="AI47" s="262">
        <v>10</v>
      </c>
      <c r="AJ47" s="264">
        <v>106</v>
      </c>
      <c r="AK47" s="264">
        <v>0.01</v>
      </c>
      <c r="AL47" s="264">
        <v>106</v>
      </c>
      <c r="AM47" s="264">
        <v>0</v>
      </c>
      <c r="AN47" s="264">
        <v>80</v>
      </c>
      <c r="AO47" s="264">
        <v>0</v>
      </c>
      <c r="AP47" s="264">
        <v>80</v>
      </c>
      <c r="AQ47" s="209">
        <v>1.2790145804988664</v>
      </c>
      <c r="AR47" s="1">
        <v>83.94</v>
      </c>
      <c r="AS47" s="206">
        <v>83.95</v>
      </c>
      <c r="AT47" s="207">
        <v>83.95</v>
      </c>
      <c r="AU47" s="207">
        <v>83.95</v>
      </c>
      <c r="AV47" s="207"/>
      <c r="AW47" s="210"/>
      <c r="AX47" s="209"/>
      <c r="AY47" s="216"/>
      <c r="AZ47" s="216"/>
      <c r="BA47" s="313"/>
      <c r="BB47" s="314"/>
      <c r="BC47" s="314"/>
      <c r="BD47" s="314"/>
      <c r="BE47" s="314"/>
      <c r="BF47" s="314"/>
      <c r="BG47" s="314"/>
      <c r="BH47" s="314"/>
      <c r="BI47" s="315"/>
    </row>
    <row r="48" spans="2:61" s="1" customFormat="1" ht="20.05" customHeight="1" x14ac:dyDescent="0.6">
      <c r="B48" s="303"/>
      <c r="C48" s="298"/>
      <c r="D48" s="299"/>
      <c r="E48" s="300"/>
      <c r="G48" s="267" t="s">
        <v>58</v>
      </c>
      <c r="H48" s="241" t="s">
        <v>39</v>
      </c>
      <c r="I48" s="267" t="s">
        <v>136</v>
      </c>
      <c r="J48" s="241">
        <v>3</v>
      </c>
      <c r="K48" s="241">
        <v>0.5</v>
      </c>
      <c r="L48" s="242">
        <v>0.5</v>
      </c>
      <c r="M48" s="294">
        <v>2600</v>
      </c>
      <c r="N48" s="268">
        <v>90</v>
      </c>
      <c r="O48" s="269">
        <v>90</v>
      </c>
      <c r="P48" s="270" t="s">
        <v>170</v>
      </c>
      <c r="Q48" s="268">
        <f>VLOOKUP(P48,'Listen und Kennwerte'!$B$4:$O$11,2,FALSE)</f>
        <v>28</v>
      </c>
      <c r="R48" s="268">
        <f>VLOOKUP(P48,'Listen und Kennwerte'!$B$4:$O$11,2,FALSE)</f>
        <v>28</v>
      </c>
      <c r="S48" s="271">
        <f>VLOOKUP(P48,'Listen und Kennwerte'!$B$4:$O$11,8,FALSE)</f>
        <v>12600</v>
      </c>
      <c r="T48" s="271">
        <f>VLOOKUP(P48,'Listen und Kennwerte'!$B$4:$O$11,9,FALSE)</f>
        <v>10500</v>
      </c>
      <c r="U48" s="271">
        <f>VLOOKUP(P48,'Listen und Kennwerte'!$B$4:$O$11,12,FALSE)</f>
        <v>540</v>
      </c>
      <c r="V48" s="272">
        <v>0.6</v>
      </c>
      <c r="W48" s="242">
        <v>1.3</v>
      </c>
      <c r="X48" s="230"/>
      <c r="Y48" s="273">
        <v>20.78</v>
      </c>
      <c r="Z48" s="274">
        <v>0.34</v>
      </c>
      <c r="AA48" s="274">
        <v>1</v>
      </c>
      <c r="AB48" s="274">
        <v>1</v>
      </c>
      <c r="AC48" s="276">
        <v>10400</v>
      </c>
      <c r="AD48" s="276">
        <v>4320</v>
      </c>
      <c r="AE48" s="276">
        <v>4320</v>
      </c>
      <c r="AF48" s="213">
        <v>1.37</v>
      </c>
      <c r="AG48" s="277" t="s">
        <v>304</v>
      </c>
      <c r="AH48" s="239"/>
      <c r="AI48" s="273">
        <v>10</v>
      </c>
      <c r="AJ48" s="275">
        <v>116</v>
      </c>
      <c r="AK48" s="275">
        <v>0.01</v>
      </c>
      <c r="AL48" s="275">
        <v>116</v>
      </c>
      <c r="AM48" s="275">
        <v>0</v>
      </c>
      <c r="AN48" s="275">
        <v>90</v>
      </c>
      <c r="AO48" s="275">
        <v>0</v>
      </c>
      <c r="AP48" s="275">
        <v>90</v>
      </c>
      <c r="AQ48" s="214">
        <v>1.3452885804988663</v>
      </c>
      <c r="AR48" s="1">
        <v>94.43</v>
      </c>
      <c r="AS48" s="211">
        <v>94.44</v>
      </c>
      <c r="AT48" s="212">
        <v>94.44</v>
      </c>
      <c r="AU48" s="212">
        <v>94.44</v>
      </c>
      <c r="AV48" s="212"/>
      <c r="AW48" s="215"/>
      <c r="AX48" s="214"/>
      <c r="AY48" s="216"/>
      <c r="AZ48" s="216"/>
      <c r="BA48" s="313"/>
      <c r="BB48" s="314"/>
      <c r="BC48" s="314"/>
      <c r="BD48" s="314"/>
      <c r="BE48" s="314"/>
      <c r="BF48" s="314"/>
      <c r="BG48" s="314"/>
      <c r="BH48" s="314"/>
      <c r="BI48" s="315"/>
    </row>
    <row r="49" spans="2:61" s="1" customFormat="1" ht="20.05" customHeight="1" x14ac:dyDescent="0.6">
      <c r="B49" s="304"/>
      <c r="C49" s="305"/>
      <c r="D49" s="306"/>
      <c r="E49" s="307"/>
      <c r="G49" s="278" t="s">
        <v>59</v>
      </c>
      <c r="H49" s="279" t="s">
        <v>39</v>
      </c>
      <c r="I49" s="278" t="s">
        <v>136</v>
      </c>
      <c r="J49" s="279">
        <v>3</v>
      </c>
      <c r="K49" s="279">
        <v>0.5</v>
      </c>
      <c r="L49" s="280">
        <v>0.5</v>
      </c>
      <c r="M49" s="295">
        <v>2600</v>
      </c>
      <c r="N49" s="281">
        <v>100</v>
      </c>
      <c r="O49" s="282">
        <v>100</v>
      </c>
      <c r="P49" s="283" t="s">
        <v>170</v>
      </c>
      <c r="Q49" s="281">
        <f>VLOOKUP(P49,'Listen und Kennwerte'!$B$4:$O$11,2,FALSE)</f>
        <v>28</v>
      </c>
      <c r="R49" s="281">
        <f>VLOOKUP(P49,'Listen und Kennwerte'!$B$4:$O$11,2,FALSE)</f>
        <v>28</v>
      </c>
      <c r="S49" s="284">
        <f>VLOOKUP(P49,'Listen und Kennwerte'!$B$4:$O$11,8,FALSE)</f>
        <v>12600</v>
      </c>
      <c r="T49" s="284">
        <f>VLOOKUP(P49,'Listen und Kennwerte'!$B$4:$O$11,9,FALSE)</f>
        <v>10500</v>
      </c>
      <c r="U49" s="284">
        <f>VLOOKUP(P49,'Listen und Kennwerte'!$B$4:$O$11,12,FALSE)</f>
        <v>540</v>
      </c>
      <c r="V49" s="285">
        <v>0.6</v>
      </c>
      <c r="W49" s="280">
        <v>1.3</v>
      </c>
      <c r="X49" s="230"/>
      <c r="Y49" s="286">
        <v>20.78</v>
      </c>
      <c r="Z49" s="287">
        <v>0.34</v>
      </c>
      <c r="AA49" s="287">
        <v>1</v>
      </c>
      <c r="AB49" s="287">
        <v>1</v>
      </c>
      <c r="AC49" s="289">
        <v>10400</v>
      </c>
      <c r="AD49" s="289">
        <v>4800</v>
      </c>
      <c r="AE49" s="289">
        <v>4800</v>
      </c>
      <c r="AF49" s="217">
        <v>1.44</v>
      </c>
      <c r="AG49" s="290" t="s">
        <v>304</v>
      </c>
      <c r="AH49" s="239"/>
      <c r="AI49" s="286">
        <v>10</v>
      </c>
      <c r="AJ49" s="288">
        <v>126</v>
      </c>
      <c r="AK49" s="288">
        <v>0.01</v>
      </c>
      <c r="AL49" s="288">
        <v>126</v>
      </c>
      <c r="AM49" s="288">
        <v>0</v>
      </c>
      <c r="AN49" s="288">
        <v>100</v>
      </c>
      <c r="AO49" s="288">
        <v>0</v>
      </c>
      <c r="AP49" s="288">
        <v>100</v>
      </c>
      <c r="AQ49" s="218">
        <v>1.4115254376417234</v>
      </c>
      <c r="AR49" s="1">
        <v>104.92</v>
      </c>
      <c r="AS49" s="206">
        <v>104.93</v>
      </c>
      <c r="AT49" s="207">
        <v>104.93</v>
      </c>
      <c r="AU49" s="207">
        <v>104.93</v>
      </c>
      <c r="AV49" s="207"/>
      <c r="AW49" s="210"/>
      <c r="AX49" s="209"/>
      <c r="AY49" s="216"/>
      <c r="AZ49" s="216"/>
      <c r="BA49" s="316"/>
      <c r="BB49" s="317"/>
      <c r="BC49" s="317"/>
      <c r="BD49" s="317"/>
      <c r="BE49" s="317"/>
      <c r="BF49" s="317"/>
      <c r="BG49" s="317"/>
      <c r="BH49" s="317"/>
      <c r="BI49" s="318"/>
    </row>
    <row r="50" spans="2:61" s="1" customFormat="1" ht="20.05" customHeight="1" x14ac:dyDescent="0.6">
      <c r="E50" s="227"/>
      <c r="G50" s="240" t="s">
        <v>45</v>
      </c>
      <c r="H50" s="241" t="s">
        <v>39</v>
      </c>
      <c r="I50" s="267" t="s">
        <v>136</v>
      </c>
      <c r="J50" s="241">
        <v>3</v>
      </c>
      <c r="K50" s="241">
        <v>0.5</v>
      </c>
      <c r="L50" s="242">
        <v>0.5</v>
      </c>
      <c r="M50" s="268">
        <v>1400</v>
      </c>
      <c r="N50" s="268">
        <v>100</v>
      </c>
      <c r="O50" s="269">
        <v>100</v>
      </c>
      <c r="P50" s="270" t="s">
        <v>170</v>
      </c>
      <c r="Q50" s="268">
        <f>VLOOKUP(P50,'Listen und Kennwerte'!$B$4:$O$11,2,FALSE)</f>
        <v>28</v>
      </c>
      <c r="R50" s="268">
        <f>VLOOKUP(P50,'Listen und Kennwerte'!$B$4:$O$11,2,FALSE)</f>
        <v>28</v>
      </c>
      <c r="S50" s="271">
        <f>VLOOKUP(P50,'Listen und Kennwerte'!$B$4:$O$11,8,FALSE)</f>
        <v>12600</v>
      </c>
      <c r="T50" s="271">
        <f>VLOOKUP(P50,'Listen und Kennwerte'!$B$4:$O$11,9,FALSE)</f>
        <v>10500</v>
      </c>
      <c r="U50" s="271">
        <f>VLOOKUP(P50,'Listen und Kennwerte'!$B$4:$O$11,12,FALSE)</f>
        <v>540</v>
      </c>
      <c r="V50" s="272">
        <v>0.6</v>
      </c>
      <c r="W50" s="242">
        <v>1.3</v>
      </c>
      <c r="X50" s="230"/>
      <c r="Y50" s="273">
        <v>20.78</v>
      </c>
      <c r="Z50" s="274">
        <v>0.34</v>
      </c>
      <c r="AA50" s="274">
        <v>1</v>
      </c>
      <c r="AB50" s="274">
        <v>1</v>
      </c>
      <c r="AC50" s="276">
        <v>5600</v>
      </c>
      <c r="AD50" s="276">
        <v>4800</v>
      </c>
      <c r="AE50" s="276">
        <v>4800</v>
      </c>
      <c r="AF50" s="213">
        <v>1.06</v>
      </c>
      <c r="AG50" s="277" t="s">
        <v>304</v>
      </c>
      <c r="AH50" s="239"/>
      <c r="AI50" s="273">
        <v>10</v>
      </c>
      <c r="AJ50" s="275">
        <v>114</v>
      </c>
      <c r="AK50" s="275">
        <v>0.01</v>
      </c>
      <c r="AL50" s="275">
        <v>114</v>
      </c>
      <c r="AM50" s="275">
        <v>0</v>
      </c>
      <c r="AN50" s="275">
        <v>100</v>
      </c>
      <c r="AO50" s="275">
        <v>0</v>
      </c>
      <c r="AP50" s="275">
        <v>100</v>
      </c>
      <c r="AQ50" s="214">
        <v>0.88889749206349211</v>
      </c>
      <c r="AR50" s="1">
        <v>102.59</v>
      </c>
      <c r="AS50" s="211">
        <v>102.59</v>
      </c>
      <c r="AT50" s="212">
        <v>102.59</v>
      </c>
      <c r="AU50" s="212">
        <v>102.59</v>
      </c>
      <c r="AV50" s="212"/>
      <c r="AW50" s="215"/>
      <c r="AX50" s="214"/>
      <c r="AY50" s="216"/>
      <c r="AZ50" s="216"/>
      <c r="BA50" s="319"/>
      <c r="BB50" s="320"/>
      <c r="BC50" s="320"/>
      <c r="BD50" s="320"/>
      <c r="BE50" s="320"/>
      <c r="BF50" s="320"/>
      <c r="BG50" s="320"/>
      <c r="BH50" s="320"/>
      <c r="BI50" s="321"/>
    </row>
    <row r="51" spans="2:61" s="1" customFormat="1" ht="20.05" customHeight="1" x14ac:dyDescent="0.6">
      <c r="E51" s="227"/>
      <c r="G51" s="254" t="s">
        <v>50</v>
      </c>
      <c r="H51" s="255" t="s">
        <v>39</v>
      </c>
      <c r="I51" s="254" t="s">
        <v>136</v>
      </c>
      <c r="J51" s="255">
        <v>3</v>
      </c>
      <c r="K51" s="255">
        <v>0.5</v>
      </c>
      <c r="L51" s="256">
        <v>0.5</v>
      </c>
      <c r="M51" s="257">
        <v>1600</v>
      </c>
      <c r="N51" s="257">
        <v>100</v>
      </c>
      <c r="O51" s="258">
        <v>100</v>
      </c>
      <c r="P51" s="259" t="s">
        <v>170</v>
      </c>
      <c r="Q51" s="257">
        <f>VLOOKUP(P51,'Listen und Kennwerte'!$B$4:$O$11,2,FALSE)</f>
        <v>28</v>
      </c>
      <c r="R51" s="257">
        <f>VLOOKUP(P51,'Listen und Kennwerte'!$B$4:$O$11,2,FALSE)</f>
        <v>28</v>
      </c>
      <c r="S51" s="260">
        <f>VLOOKUP(P51,'Listen und Kennwerte'!$B$4:$O$11,8,FALSE)</f>
        <v>12600</v>
      </c>
      <c r="T51" s="260">
        <f>VLOOKUP(P51,'Listen und Kennwerte'!$B$4:$O$11,9,FALSE)</f>
        <v>10500</v>
      </c>
      <c r="U51" s="260">
        <f>VLOOKUP(P51,'Listen und Kennwerte'!$B$4:$O$11,12,FALSE)</f>
        <v>540</v>
      </c>
      <c r="V51" s="261">
        <v>0.6</v>
      </c>
      <c r="W51" s="256">
        <v>1.3</v>
      </c>
      <c r="X51" s="230"/>
      <c r="Y51" s="262">
        <v>20.78</v>
      </c>
      <c r="Z51" s="263">
        <v>0.34</v>
      </c>
      <c r="AA51" s="263">
        <v>1</v>
      </c>
      <c r="AB51" s="263">
        <v>1</v>
      </c>
      <c r="AC51" s="265">
        <v>6400</v>
      </c>
      <c r="AD51" s="265">
        <v>4800</v>
      </c>
      <c r="AE51" s="265">
        <v>4800</v>
      </c>
      <c r="AF51" s="208">
        <v>1.1299999999999999</v>
      </c>
      <c r="AG51" s="266" t="s">
        <v>304</v>
      </c>
      <c r="AH51" s="239"/>
      <c r="AI51" s="262">
        <v>10</v>
      </c>
      <c r="AJ51" s="264">
        <v>116</v>
      </c>
      <c r="AK51" s="264">
        <v>0.01</v>
      </c>
      <c r="AL51" s="264">
        <v>116</v>
      </c>
      <c r="AM51" s="264">
        <v>0</v>
      </c>
      <c r="AN51" s="264">
        <v>100</v>
      </c>
      <c r="AO51" s="264">
        <v>0</v>
      </c>
      <c r="AP51" s="264">
        <v>100</v>
      </c>
      <c r="AQ51" s="209">
        <v>0.95665419954648545</v>
      </c>
      <c r="AR51" s="1">
        <v>102.97</v>
      </c>
      <c r="AS51" s="206">
        <v>102.97</v>
      </c>
      <c r="AT51" s="207">
        <v>102.97</v>
      </c>
      <c r="AU51" s="207">
        <v>102.97</v>
      </c>
      <c r="AV51" s="207"/>
      <c r="AW51" s="210"/>
      <c r="AX51" s="209"/>
      <c r="AY51" s="216"/>
      <c r="AZ51" s="216"/>
      <c r="BA51" s="313"/>
      <c r="BB51" s="314"/>
      <c r="BC51" s="314"/>
      <c r="BD51" s="314"/>
      <c r="BE51" s="314"/>
      <c r="BF51" s="314"/>
      <c r="BG51" s="314"/>
      <c r="BH51" s="314"/>
      <c r="BI51" s="315"/>
    </row>
    <row r="52" spans="2:61" s="1" customFormat="1" ht="20.05" customHeight="1" x14ac:dyDescent="0.6">
      <c r="E52" s="227"/>
      <c r="G52" s="267" t="s">
        <v>51</v>
      </c>
      <c r="H52" s="241" t="s">
        <v>39</v>
      </c>
      <c r="I52" s="267" t="s">
        <v>136</v>
      </c>
      <c r="J52" s="241">
        <v>3</v>
      </c>
      <c r="K52" s="241">
        <v>0.5</v>
      </c>
      <c r="L52" s="242">
        <v>0.5</v>
      </c>
      <c r="M52" s="268">
        <v>1800</v>
      </c>
      <c r="N52" s="268">
        <v>100</v>
      </c>
      <c r="O52" s="269">
        <v>100</v>
      </c>
      <c r="P52" s="270" t="s">
        <v>170</v>
      </c>
      <c r="Q52" s="268">
        <f>VLOOKUP(P52,'Listen und Kennwerte'!$B$4:$O$11,2,FALSE)</f>
        <v>28</v>
      </c>
      <c r="R52" s="268">
        <f>VLOOKUP(P52,'Listen und Kennwerte'!$B$4:$O$11,2,FALSE)</f>
        <v>28</v>
      </c>
      <c r="S52" s="271">
        <f>VLOOKUP(P52,'Listen und Kennwerte'!$B$4:$O$11,8,FALSE)</f>
        <v>12600</v>
      </c>
      <c r="T52" s="271">
        <f>VLOOKUP(P52,'Listen und Kennwerte'!$B$4:$O$11,9,FALSE)</f>
        <v>10500</v>
      </c>
      <c r="U52" s="271">
        <f>VLOOKUP(P52,'Listen und Kennwerte'!$B$4:$O$11,12,FALSE)</f>
        <v>540</v>
      </c>
      <c r="V52" s="272">
        <v>0.6</v>
      </c>
      <c r="W52" s="242">
        <v>1.3</v>
      </c>
      <c r="X52" s="230"/>
      <c r="Y52" s="273">
        <v>20.78</v>
      </c>
      <c r="Z52" s="274">
        <v>0.34</v>
      </c>
      <c r="AA52" s="274">
        <v>1</v>
      </c>
      <c r="AB52" s="274">
        <v>1</v>
      </c>
      <c r="AC52" s="276">
        <v>7200</v>
      </c>
      <c r="AD52" s="276">
        <v>4800</v>
      </c>
      <c r="AE52" s="276">
        <v>4800</v>
      </c>
      <c r="AF52" s="213">
        <v>1.19</v>
      </c>
      <c r="AG52" s="277" t="s">
        <v>304</v>
      </c>
      <c r="AH52" s="239"/>
      <c r="AI52" s="273">
        <v>10</v>
      </c>
      <c r="AJ52" s="275">
        <v>118</v>
      </c>
      <c r="AK52" s="275">
        <v>0.01</v>
      </c>
      <c r="AL52" s="275">
        <v>118</v>
      </c>
      <c r="AM52" s="275">
        <v>0</v>
      </c>
      <c r="AN52" s="275">
        <v>100</v>
      </c>
      <c r="AO52" s="275">
        <v>0</v>
      </c>
      <c r="AP52" s="275">
        <v>100</v>
      </c>
      <c r="AQ52" s="214">
        <v>1.0321384489795917</v>
      </c>
      <c r="AR52" s="1">
        <v>103.36</v>
      </c>
      <c r="AS52" s="211">
        <v>103.36</v>
      </c>
      <c r="AT52" s="212">
        <v>103.36</v>
      </c>
      <c r="AU52" s="212">
        <v>103.36</v>
      </c>
      <c r="AV52" s="212"/>
      <c r="AW52" s="215"/>
      <c r="AX52" s="214"/>
      <c r="AY52" s="216"/>
      <c r="AZ52" s="216"/>
      <c r="BA52" s="313"/>
      <c r="BB52" s="314"/>
      <c r="BC52" s="314"/>
      <c r="BD52" s="314"/>
      <c r="BE52" s="314"/>
      <c r="BF52" s="314"/>
      <c r="BG52" s="314"/>
      <c r="BH52" s="314"/>
      <c r="BI52" s="315"/>
    </row>
    <row r="53" spans="2:61" s="1" customFormat="1" ht="20.05" customHeight="1" x14ac:dyDescent="0.6">
      <c r="E53" s="227"/>
      <c r="G53" s="254" t="s">
        <v>52</v>
      </c>
      <c r="H53" s="255" t="s">
        <v>39</v>
      </c>
      <c r="I53" s="254" t="s">
        <v>136</v>
      </c>
      <c r="J53" s="255">
        <v>3</v>
      </c>
      <c r="K53" s="255">
        <v>0.5</v>
      </c>
      <c r="L53" s="256">
        <v>0.5</v>
      </c>
      <c r="M53" s="257">
        <v>2000</v>
      </c>
      <c r="N53" s="257">
        <v>100</v>
      </c>
      <c r="O53" s="258">
        <v>100</v>
      </c>
      <c r="P53" s="259" t="s">
        <v>170</v>
      </c>
      <c r="Q53" s="257">
        <f>VLOOKUP(P53,'Listen und Kennwerte'!$B$4:$O$11,2,FALSE)</f>
        <v>28</v>
      </c>
      <c r="R53" s="257">
        <f>VLOOKUP(P53,'Listen und Kennwerte'!$B$4:$O$11,2,FALSE)</f>
        <v>28</v>
      </c>
      <c r="S53" s="260">
        <f>VLOOKUP(P53,'Listen und Kennwerte'!$B$4:$O$11,8,FALSE)</f>
        <v>12600</v>
      </c>
      <c r="T53" s="260">
        <f>VLOOKUP(P53,'Listen und Kennwerte'!$B$4:$O$11,9,FALSE)</f>
        <v>10500</v>
      </c>
      <c r="U53" s="260">
        <f>VLOOKUP(P53,'Listen und Kennwerte'!$B$4:$O$11,12,FALSE)</f>
        <v>540</v>
      </c>
      <c r="V53" s="261">
        <v>0.6</v>
      </c>
      <c r="W53" s="256">
        <v>1.3</v>
      </c>
      <c r="X53" s="230"/>
      <c r="Y53" s="262">
        <v>20.78</v>
      </c>
      <c r="Z53" s="263">
        <v>0.34</v>
      </c>
      <c r="AA53" s="263">
        <v>1</v>
      </c>
      <c r="AB53" s="263">
        <v>1</v>
      </c>
      <c r="AC53" s="265">
        <v>8000</v>
      </c>
      <c r="AD53" s="265">
        <v>4800</v>
      </c>
      <c r="AE53" s="265">
        <v>4800</v>
      </c>
      <c r="AF53" s="208">
        <v>1.25</v>
      </c>
      <c r="AG53" s="266" t="s">
        <v>304</v>
      </c>
      <c r="AH53" s="239"/>
      <c r="AI53" s="262">
        <v>10</v>
      </c>
      <c r="AJ53" s="264">
        <v>120</v>
      </c>
      <c r="AK53" s="264">
        <v>0.01</v>
      </c>
      <c r="AL53" s="264">
        <v>120</v>
      </c>
      <c r="AM53" s="264">
        <v>0</v>
      </c>
      <c r="AN53" s="264">
        <v>100</v>
      </c>
      <c r="AO53" s="264">
        <v>0</v>
      </c>
      <c r="AP53" s="264">
        <v>100</v>
      </c>
      <c r="AQ53" s="209">
        <v>1.1154096689342403</v>
      </c>
      <c r="AR53" s="1">
        <v>103.74</v>
      </c>
      <c r="AS53" s="206">
        <v>103.74</v>
      </c>
      <c r="AT53" s="207">
        <v>103.74</v>
      </c>
      <c r="AU53" s="207">
        <v>103.74</v>
      </c>
      <c r="AV53" s="207"/>
      <c r="AW53" s="210"/>
      <c r="AX53" s="209"/>
      <c r="AY53" s="216"/>
      <c r="AZ53" s="216"/>
      <c r="BA53" s="313"/>
      <c r="BB53" s="314"/>
      <c r="BC53" s="314"/>
      <c r="BD53" s="314"/>
      <c r="BE53" s="314"/>
      <c r="BF53" s="314"/>
      <c r="BG53" s="314"/>
      <c r="BH53" s="314"/>
      <c r="BI53" s="315"/>
    </row>
    <row r="54" spans="2:61" s="1" customFormat="1" ht="20.05" customHeight="1" x14ac:dyDescent="0.6">
      <c r="E54" s="227"/>
      <c r="G54" s="267" t="s">
        <v>53</v>
      </c>
      <c r="H54" s="241" t="s">
        <v>39</v>
      </c>
      <c r="I54" s="267" t="s">
        <v>136</v>
      </c>
      <c r="J54" s="241">
        <v>3</v>
      </c>
      <c r="K54" s="241">
        <v>0.5</v>
      </c>
      <c r="L54" s="242">
        <v>0.5</v>
      </c>
      <c r="M54" s="268">
        <v>2200</v>
      </c>
      <c r="N54" s="268">
        <v>100</v>
      </c>
      <c r="O54" s="269">
        <v>100</v>
      </c>
      <c r="P54" s="270" t="s">
        <v>170</v>
      </c>
      <c r="Q54" s="268">
        <f>VLOOKUP(P54,'Listen und Kennwerte'!$B$4:$O$11,2,FALSE)</f>
        <v>28</v>
      </c>
      <c r="R54" s="268">
        <f>VLOOKUP(P54,'Listen und Kennwerte'!$B$4:$O$11,2,FALSE)</f>
        <v>28</v>
      </c>
      <c r="S54" s="271">
        <f>VLOOKUP(P54,'Listen und Kennwerte'!$B$4:$O$11,8,FALSE)</f>
        <v>12600</v>
      </c>
      <c r="T54" s="271">
        <f>VLOOKUP(P54,'Listen und Kennwerte'!$B$4:$O$11,9,FALSE)</f>
        <v>10500</v>
      </c>
      <c r="U54" s="271">
        <f>VLOOKUP(P54,'Listen und Kennwerte'!$B$4:$O$11,12,FALSE)</f>
        <v>540</v>
      </c>
      <c r="V54" s="272">
        <v>0.6</v>
      </c>
      <c r="W54" s="242">
        <v>1.3</v>
      </c>
      <c r="X54" s="230"/>
      <c r="Y54" s="273">
        <v>20.78</v>
      </c>
      <c r="Z54" s="274">
        <v>0.34</v>
      </c>
      <c r="AA54" s="274">
        <v>1</v>
      </c>
      <c r="AB54" s="274">
        <v>1</v>
      </c>
      <c r="AC54" s="276">
        <v>8800</v>
      </c>
      <c r="AD54" s="276">
        <v>4800</v>
      </c>
      <c r="AE54" s="276">
        <v>4800</v>
      </c>
      <c r="AF54" s="213">
        <v>1.31</v>
      </c>
      <c r="AG54" s="277" t="s">
        <v>304</v>
      </c>
      <c r="AH54" s="239"/>
      <c r="AI54" s="273">
        <v>10</v>
      </c>
      <c r="AJ54" s="275">
        <v>122</v>
      </c>
      <c r="AK54" s="275">
        <v>0.01</v>
      </c>
      <c r="AL54" s="275">
        <v>122</v>
      </c>
      <c r="AM54" s="275">
        <v>0</v>
      </c>
      <c r="AN54" s="275">
        <v>100</v>
      </c>
      <c r="AO54" s="275">
        <v>0</v>
      </c>
      <c r="AP54" s="275">
        <v>100</v>
      </c>
      <c r="AQ54" s="214">
        <v>1.2063601451247166</v>
      </c>
      <c r="AR54" s="1">
        <v>104.13</v>
      </c>
      <c r="AS54" s="211">
        <v>104.14</v>
      </c>
      <c r="AT54" s="212">
        <v>104.14</v>
      </c>
      <c r="AU54" s="212">
        <v>104.14</v>
      </c>
      <c r="AV54" s="212"/>
      <c r="AW54" s="215"/>
      <c r="AX54" s="214"/>
      <c r="AY54" s="216"/>
      <c r="AZ54" s="216"/>
      <c r="BA54" s="313"/>
      <c r="BB54" s="314"/>
      <c r="BC54" s="314"/>
      <c r="BD54" s="314"/>
      <c r="BE54" s="314"/>
      <c r="BF54" s="314"/>
      <c r="BG54" s="314"/>
      <c r="BH54" s="314"/>
      <c r="BI54" s="315"/>
    </row>
    <row r="55" spans="2:61" s="1" customFormat="1" ht="20.05" customHeight="1" x14ac:dyDescent="0.6">
      <c r="E55" s="227"/>
      <c r="G55" s="254" t="s">
        <v>54</v>
      </c>
      <c r="H55" s="255" t="s">
        <v>39</v>
      </c>
      <c r="I55" s="254" t="s">
        <v>136</v>
      </c>
      <c r="J55" s="255">
        <v>3</v>
      </c>
      <c r="K55" s="255">
        <v>0.5</v>
      </c>
      <c r="L55" s="256">
        <v>0.5</v>
      </c>
      <c r="M55" s="257">
        <v>2400</v>
      </c>
      <c r="N55" s="257">
        <v>100</v>
      </c>
      <c r="O55" s="258">
        <v>100</v>
      </c>
      <c r="P55" s="259" t="s">
        <v>170</v>
      </c>
      <c r="Q55" s="257">
        <f>VLOOKUP(P55,'Listen und Kennwerte'!$B$4:$O$11,2,FALSE)</f>
        <v>28</v>
      </c>
      <c r="R55" s="257">
        <f>VLOOKUP(P55,'Listen und Kennwerte'!$B$4:$O$11,2,FALSE)</f>
        <v>28</v>
      </c>
      <c r="S55" s="260">
        <f>VLOOKUP(P55,'Listen und Kennwerte'!$B$4:$O$11,8,FALSE)</f>
        <v>12600</v>
      </c>
      <c r="T55" s="260">
        <f>VLOOKUP(P55,'Listen und Kennwerte'!$B$4:$O$11,9,FALSE)</f>
        <v>10500</v>
      </c>
      <c r="U55" s="260">
        <f>VLOOKUP(P55,'Listen und Kennwerte'!$B$4:$O$11,12,FALSE)</f>
        <v>540</v>
      </c>
      <c r="V55" s="261">
        <v>0.6</v>
      </c>
      <c r="W55" s="256">
        <v>1.3</v>
      </c>
      <c r="X55" s="230"/>
      <c r="Y55" s="262">
        <v>20.78</v>
      </c>
      <c r="Z55" s="263">
        <v>0.34</v>
      </c>
      <c r="AA55" s="263">
        <v>1</v>
      </c>
      <c r="AB55" s="263">
        <v>1</v>
      </c>
      <c r="AC55" s="265">
        <v>9600</v>
      </c>
      <c r="AD55" s="265">
        <v>4800</v>
      </c>
      <c r="AE55" s="265">
        <v>4800</v>
      </c>
      <c r="AF55" s="208">
        <v>1.37</v>
      </c>
      <c r="AG55" s="266" t="s">
        <v>304</v>
      </c>
      <c r="AH55" s="239"/>
      <c r="AI55" s="262">
        <v>10</v>
      </c>
      <c r="AJ55" s="264">
        <v>124</v>
      </c>
      <c r="AK55" s="264">
        <v>0.01</v>
      </c>
      <c r="AL55" s="264">
        <v>124</v>
      </c>
      <c r="AM55" s="264">
        <v>0</v>
      </c>
      <c r="AN55" s="264">
        <v>100</v>
      </c>
      <c r="AO55" s="264">
        <v>0</v>
      </c>
      <c r="AP55" s="264">
        <v>100</v>
      </c>
      <c r="AQ55" s="209">
        <v>1.3050864489795919</v>
      </c>
      <c r="AR55" s="1">
        <v>104.53</v>
      </c>
      <c r="AS55" s="206">
        <v>104.54</v>
      </c>
      <c r="AT55" s="207">
        <v>104.54</v>
      </c>
      <c r="AU55" s="207">
        <v>104.54</v>
      </c>
      <c r="AV55" s="207"/>
      <c r="AW55" s="210"/>
      <c r="AX55" s="209"/>
      <c r="AY55" s="216"/>
      <c r="AZ55" s="216"/>
      <c r="BA55" s="313"/>
      <c r="BB55" s="314"/>
      <c r="BC55" s="314"/>
      <c r="BD55" s="314"/>
      <c r="BE55" s="314"/>
      <c r="BF55" s="314"/>
      <c r="BG55" s="314"/>
      <c r="BH55" s="314"/>
      <c r="BI55" s="315"/>
    </row>
    <row r="56" spans="2:61" s="1" customFormat="1" ht="20.05" customHeight="1" x14ac:dyDescent="0.6">
      <c r="E56" s="227"/>
      <c r="G56" s="267" t="s">
        <v>56</v>
      </c>
      <c r="H56" s="241" t="s">
        <v>39</v>
      </c>
      <c r="I56" s="267" t="s">
        <v>136</v>
      </c>
      <c r="J56" s="241">
        <v>3</v>
      </c>
      <c r="K56" s="241">
        <v>0.5</v>
      </c>
      <c r="L56" s="242">
        <v>0.5</v>
      </c>
      <c r="M56" s="268">
        <v>2600</v>
      </c>
      <c r="N56" s="268">
        <v>100</v>
      </c>
      <c r="O56" s="269">
        <v>100</v>
      </c>
      <c r="P56" s="270" t="s">
        <v>170</v>
      </c>
      <c r="Q56" s="268">
        <f>VLOOKUP(P56,'Listen und Kennwerte'!$B$4:$O$11,2,FALSE)</f>
        <v>28</v>
      </c>
      <c r="R56" s="268">
        <f>VLOOKUP(P56,'Listen und Kennwerte'!$B$4:$O$11,2,FALSE)</f>
        <v>28</v>
      </c>
      <c r="S56" s="271">
        <f>VLOOKUP(P56,'Listen und Kennwerte'!$B$4:$O$11,8,FALSE)</f>
        <v>12600</v>
      </c>
      <c r="T56" s="271">
        <f>VLOOKUP(P56,'Listen und Kennwerte'!$B$4:$O$11,9,FALSE)</f>
        <v>10500</v>
      </c>
      <c r="U56" s="271">
        <f>VLOOKUP(P56,'Listen und Kennwerte'!$B$4:$O$11,12,FALSE)</f>
        <v>540</v>
      </c>
      <c r="V56" s="272">
        <v>0.6</v>
      </c>
      <c r="W56" s="242">
        <v>1.3</v>
      </c>
      <c r="X56" s="230"/>
      <c r="Y56" s="273">
        <v>20.78</v>
      </c>
      <c r="Z56" s="274">
        <v>0.34</v>
      </c>
      <c r="AA56" s="274">
        <v>1</v>
      </c>
      <c r="AB56" s="274">
        <v>1</v>
      </c>
      <c r="AC56" s="276">
        <v>10400</v>
      </c>
      <c r="AD56" s="276">
        <v>4800</v>
      </c>
      <c r="AE56" s="276">
        <v>4800</v>
      </c>
      <c r="AF56" s="213">
        <v>1.44</v>
      </c>
      <c r="AG56" s="277" t="s">
        <v>304</v>
      </c>
      <c r="AH56" s="239"/>
      <c r="AI56" s="273">
        <v>10</v>
      </c>
      <c r="AJ56" s="275">
        <v>126</v>
      </c>
      <c r="AK56" s="275">
        <v>0.01</v>
      </c>
      <c r="AL56" s="275">
        <v>126</v>
      </c>
      <c r="AM56" s="275">
        <v>0</v>
      </c>
      <c r="AN56" s="275">
        <v>100</v>
      </c>
      <c r="AO56" s="275">
        <v>0</v>
      </c>
      <c r="AP56" s="275">
        <v>100</v>
      </c>
      <c r="AQ56" s="214">
        <v>1.4115254376417234</v>
      </c>
      <c r="AR56" s="1">
        <v>104.92</v>
      </c>
      <c r="AS56" s="211">
        <v>104.93</v>
      </c>
      <c r="AT56" s="212">
        <v>104.93</v>
      </c>
      <c r="AU56" s="212">
        <v>104.93</v>
      </c>
      <c r="AV56" s="212"/>
      <c r="AW56" s="215"/>
      <c r="AX56" s="214"/>
      <c r="AY56" s="216"/>
      <c r="AZ56" s="216"/>
      <c r="BA56" s="313"/>
      <c r="BB56" s="314"/>
      <c r="BC56" s="314"/>
      <c r="BD56" s="314"/>
      <c r="BE56" s="314"/>
      <c r="BF56" s="314"/>
      <c r="BG56" s="314"/>
      <c r="BH56" s="314"/>
      <c r="BI56" s="315"/>
    </row>
    <row r="57" spans="2:61" s="1" customFormat="1" ht="20.05" customHeight="1" x14ac:dyDescent="0.6">
      <c r="E57" s="227"/>
      <c r="G57" s="254" t="s">
        <v>57</v>
      </c>
      <c r="H57" s="255" t="s">
        <v>39</v>
      </c>
      <c r="I57" s="254" t="s">
        <v>136</v>
      </c>
      <c r="J57" s="255">
        <v>3</v>
      </c>
      <c r="K57" s="255">
        <v>0.5</v>
      </c>
      <c r="L57" s="256">
        <v>0.5</v>
      </c>
      <c r="M57" s="257">
        <v>2800</v>
      </c>
      <c r="N57" s="257">
        <v>100</v>
      </c>
      <c r="O57" s="258">
        <v>100</v>
      </c>
      <c r="P57" s="259" t="s">
        <v>170</v>
      </c>
      <c r="Q57" s="257">
        <f>VLOOKUP(P57,'Listen und Kennwerte'!$B$4:$O$11,2,FALSE)</f>
        <v>28</v>
      </c>
      <c r="R57" s="257">
        <f>VLOOKUP(P57,'Listen und Kennwerte'!$B$4:$O$11,2,FALSE)</f>
        <v>28</v>
      </c>
      <c r="S57" s="260">
        <f>VLOOKUP(P57,'Listen und Kennwerte'!$B$4:$O$11,8,FALSE)</f>
        <v>12600</v>
      </c>
      <c r="T57" s="260">
        <f>VLOOKUP(P57,'Listen und Kennwerte'!$B$4:$O$11,9,FALSE)</f>
        <v>10500</v>
      </c>
      <c r="U57" s="260">
        <f>VLOOKUP(P57,'Listen und Kennwerte'!$B$4:$O$11,12,FALSE)</f>
        <v>540</v>
      </c>
      <c r="V57" s="261">
        <v>0.6</v>
      </c>
      <c r="W57" s="256">
        <v>1.3</v>
      </c>
      <c r="X57" s="230"/>
      <c r="Y57" s="262">
        <v>20.78</v>
      </c>
      <c r="Z57" s="263">
        <v>0.34</v>
      </c>
      <c r="AA57" s="263">
        <v>1</v>
      </c>
      <c r="AB57" s="263">
        <v>1</v>
      </c>
      <c r="AC57" s="265">
        <v>11200</v>
      </c>
      <c r="AD57" s="265">
        <v>4800</v>
      </c>
      <c r="AE57" s="265">
        <v>4800</v>
      </c>
      <c r="AF57" s="208">
        <v>1.5</v>
      </c>
      <c r="AG57" s="266" t="s">
        <v>304</v>
      </c>
      <c r="AH57" s="239"/>
      <c r="AI57" s="262">
        <v>10</v>
      </c>
      <c r="AJ57" s="264">
        <v>128</v>
      </c>
      <c r="AK57" s="264">
        <v>0.01</v>
      </c>
      <c r="AL57" s="264">
        <v>128</v>
      </c>
      <c r="AM57" s="264">
        <v>0</v>
      </c>
      <c r="AN57" s="264">
        <v>100</v>
      </c>
      <c r="AO57" s="264">
        <v>0</v>
      </c>
      <c r="AP57" s="264">
        <v>100</v>
      </c>
      <c r="AQ57" s="209">
        <v>1.5257291111111111</v>
      </c>
      <c r="AR57" s="1">
        <v>105.32</v>
      </c>
      <c r="AS57" s="206">
        <v>105.33</v>
      </c>
      <c r="AT57" s="207">
        <v>105.33</v>
      </c>
      <c r="AU57" s="207">
        <v>105.33</v>
      </c>
      <c r="AV57" s="207"/>
      <c r="AW57" s="210"/>
      <c r="AX57" s="209"/>
      <c r="AY57" s="216"/>
      <c r="AZ57" s="216"/>
      <c r="BA57" s="313"/>
      <c r="BB57" s="314"/>
      <c r="BC57" s="314"/>
      <c r="BD57" s="314"/>
      <c r="BE57" s="314"/>
      <c r="BF57" s="314"/>
      <c r="BG57" s="314"/>
      <c r="BH57" s="314"/>
      <c r="BI57" s="315"/>
    </row>
    <row r="58" spans="2:61" s="1" customFormat="1" ht="20.05" customHeight="1" x14ac:dyDescent="0.6">
      <c r="E58" s="227"/>
      <c r="G58" s="267" t="s">
        <v>58</v>
      </c>
      <c r="H58" s="241" t="s">
        <v>39</v>
      </c>
      <c r="I58" s="267" t="s">
        <v>136</v>
      </c>
      <c r="J58" s="241">
        <v>3</v>
      </c>
      <c r="K58" s="241">
        <v>0.5</v>
      </c>
      <c r="L58" s="242">
        <v>0.5</v>
      </c>
      <c r="M58" s="268">
        <v>3000</v>
      </c>
      <c r="N58" s="268">
        <v>100</v>
      </c>
      <c r="O58" s="269">
        <v>100</v>
      </c>
      <c r="P58" s="270" t="s">
        <v>170</v>
      </c>
      <c r="Q58" s="268">
        <f>VLOOKUP(P58,'Listen und Kennwerte'!$B$4:$O$11,2,FALSE)</f>
        <v>28</v>
      </c>
      <c r="R58" s="268">
        <f>VLOOKUP(P58,'Listen und Kennwerte'!$B$4:$O$11,2,FALSE)</f>
        <v>28</v>
      </c>
      <c r="S58" s="271">
        <f>VLOOKUP(P58,'Listen und Kennwerte'!$B$4:$O$11,8,FALSE)</f>
        <v>12600</v>
      </c>
      <c r="T58" s="271">
        <f>VLOOKUP(P58,'Listen und Kennwerte'!$B$4:$O$11,9,FALSE)</f>
        <v>10500</v>
      </c>
      <c r="U58" s="271">
        <f>VLOOKUP(P58,'Listen und Kennwerte'!$B$4:$O$11,12,FALSE)</f>
        <v>540</v>
      </c>
      <c r="V58" s="272">
        <v>0.6</v>
      </c>
      <c r="W58" s="242">
        <v>1.3</v>
      </c>
      <c r="X58" s="230"/>
      <c r="Y58" s="273">
        <v>20.78</v>
      </c>
      <c r="Z58" s="274">
        <v>0.34</v>
      </c>
      <c r="AA58" s="274">
        <v>1</v>
      </c>
      <c r="AB58" s="274">
        <v>1</v>
      </c>
      <c r="AC58" s="276">
        <v>12000</v>
      </c>
      <c r="AD58" s="276">
        <v>4800</v>
      </c>
      <c r="AE58" s="276">
        <v>4800</v>
      </c>
      <c r="AF58" s="213">
        <v>1.56</v>
      </c>
      <c r="AG58" s="277" t="s">
        <v>304</v>
      </c>
      <c r="AH58" s="239"/>
      <c r="AI58" s="273">
        <v>10</v>
      </c>
      <c r="AJ58" s="275">
        <v>130</v>
      </c>
      <c r="AK58" s="275">
        <v>0.01</v>
      </c>
      <c r="AL58" s="275">
        <v>130</v>
      </c>
      <c r="AM58" s="275">
        <v>0</v>
      </c>
      <c r="AN58" s="275">
        <v>100</v>
      </c>
      <c r="AO58" s="275">
        <v>0</v>
      </c>
      <c r="AP58" s="275">
        <v>100</v>
      </c>
      <c r="AQ58" s="214">
        <v>1.6476714693877552</v>
      </c>
      <c r="AR58" s="1">
        <v>105.71</v>
      </c>
      <c r="AS58" s="211">
        <v>105.73</v>
      </c>
      <c r="AT58" s="212">
        <v>105.73</v>
      </c>
      <c r="AU58" s="212">
        <v>105.73</v>
      </c>
      <c r="AV58" s="212"/>
      <c r="AW58" s="215"/>
      <c r="AX58" s="214"/>
      <c r="AY58" s="216"/>
      <c r="AZ58" s="216"/>
      <c r="BA58" s="313"/>
      <c r="BB58" s="314"/>
      <c r="BC58" s="314"/>
      <c r="BD58" s="314"/>
      <c r="BE58" s="314"/>
      <c r="BF58" s="314"/>
      <c r="BG58" s="314"/>
      <c r="BH58" s="314"/>
      <c r="BI58" s="315"/>
    </row>
    <row r="59" spans="2:61" s="1" customFormat="1" ht="20.05" customHeight="1" x14ac:dyDescent="0.6">
      <c r="E59" s="227"/>
      <c r="G59" s="278" t="s">
        <v>59</v>
      </c>
      <c r="H59" s="279" t="s">
        <v>39</v>
      </c>
      <c r="I59" s="278" t="s">
        <v>136</v>
      </c>
      <c r="J59" s="279">
        <v>3</v>
      </c>
      <c r="K59" s="279">
        <v>0.5</v>
      </c>
      <c r="L59" s="280">
        <v>0.5</v>
      </c>
      <c r="M59" s="281">
        <v>3200</v>
      </c>
      <c r="N59" s="281">
        <v>100</v>
      </c>
      <c r="O59" s="282">
        <v>100</v>
      </c>
      <c r="P59" s="283" t="s">
        <v>170</v>
      </c>
      <c r="Q59" s="281">
        <f>VLOOKUP(P59,'Listen und Kennwerte'!$B$4:$O$11,2,FALSE)</f>
        <v>28</v>
      </c>
      <c r="R59" s="281">
        <f>VLOOKUP(P59,'Listen und Kennwerte'!$B$4:$O$11,2,FALSE)</f>
        <v>28</v>
      </c>
      <c r="S59" s="284">
        <f>VLOOKUP(P59,'Listen und Kennwerte'!$B$4:$O$11,8,FALSE)</f>
        <v>12600</v>
      </c>
      <c r="T59" s="284">
        <f>VLOOKUP(P59,'Listen und Kennwerte'!$B$4:$O$11,9,FALSE)</f>
        <v>10500</v>
      </c>
      <c r="U59" s="284">
        <f>VLOOKUP(P59,'Listen und Kennwerte'!$B$4:$O$11,12,FALSE)</f>
        <v>540</v>
      </c>
      <c r="V59" s="285">
        <v>0.6</v>
      </c>
      <c r="W59" s="280">
        <v>1.3</v>
      </c>
      <c r="X59" s="230"/>
      <c r="Y59" s="286">
        <v>20.78</v>
      </c>
      <c r="Z59" s="287">
        <v>0.34</v>
      </c>
      <c r="AA59" s="287">
        <v>1</v>
      </c>
      <c r="AB59" s="287">
        <v>1</v>
      </c>
      <c r="AC59" s="289">
        <v>12800</v>
      </c>
      <c r="AD59" s="289">
        <v>4800</v>
      </c>
      <c r="AE59" s="289">
        <v>4800</v>
      </c>
      <c r="AF59" s="217">
        <v>1.62</v>
      </c>
      <c r="AG59" s="290" t="s">
        <v>304</v>
      </c>
      <c r="AH59" s="239"/>
      <c r="AI59" s="286">
        <v>10</v>
      </c>
      <c r="AJ59" s="288">
        <v>132</v>
      </c>
      <c r="AK59" s="288">
        <v>0.01</v>
      </c>
      <c r="AL59" s="288">
        <v>132</v>
      </c>
      <c r="AM59" s="288">
        <v>0</v>
      </c>
      <c r="AN59" s="288">
        <v>100</v>
      </c>
      <c r="AO59" s="288">
        <v>0</v>
      </c>
      <c r="AP59" s="288">
        <v>100</v>
      </c>
      <c r="AQ59" s="218">
        <v>1.7773525124716554</v>
      </c>
      <c r="AR59" s="1">
        <v>106.11</v>
      </c>
      <c r="AS59" s="206">
        <v>106.13</v>
      </c>
      <c r="AT59" s="207">
        <v>106.13</v>
      </c>
      <c r="AU59" s="207">
        <v>106.13</v>
      </c>
      <c r="AV59" s="207"/>
      <c r="AW59" s="210"/>
      <c r="AX59" s="209"/>
      <c r="AY59" s="216"/>
      <c r="AZ59" s="216"/>
      <c r="BA59" s="316"/>
      <c r="BB59" s="317"/>
      <c r="BC59" s="317"/>
      <c r="BD59" s="317"/>
      <c r="BE59" s="317"/>
      <c r="BF59" s="317"/>
      <c r="BG59" s="317"/>
      <c r="BH59" s="317"/>
      <c r="BI59" s="318"/>
    </row>
    <row r="60" spans="2:61" s="1" customFormat="1" ht="20.05" customHeight="1" x14ac:dyDescent="0.6">
      <c r="E60" s="227"/>
      <c r="G60" s="240" t="s">
        <v>45</v>
      </c>
      <c r="H60" s="241" t="s">
        <v>39</v>
      </c>
      <c r="I60" s="267" t="s">
        <v>136</v>
      </c>
      <c r="J60" s="241">
        <v>3</v>
      </c>
      <c r="K60" s="241">
        <v>0.1</v>
      </c>
      <c r="L60" s="242">
        <v>1</v>
      </c>
      <c r="M60" s="268">
        <v>2600</v>
      </c>
      <c r="N60" s="268">
        <v>20</v>
      </c>
      <c r="O60" s="269">
        <v>0</v>
      </c>
      <c r="P60" s="270" t="s">
        <v>170</v>
      </c>
      <c r="Q60" s="268">
        <f>VLOOKUP(P60,'Listen und Kennwerte'!$B$4:$O$11,2,FALSE)</f>
        <v>28</v>
      </c>
      <c r="R60" s="268">
        <f>VLOOKUP(P60,'Listen und Kennwerte'!$B$4:$O$11,2,FALSE)</f>
        <v>28</v>
      </c>
      <c r="S60" s="271">
        <f>VLOOKUP(P60,'Listen und Kennwerte'!$B$4:$O$11,8,FALSE)</f>
        <v>12600</v>
      </c>
      <c r="T60" s="271">
        <f>VLOOKUP(P60,'Listen und Kennwerte'!$B$4:$O$11,9,FALSE)</f>
        <v>10500</v>
      </c>
      <c r="U60" s="271">
        <f>VLOOKUP(P60,'Listen und Kennwerte'!$B$4:$O$11,12,FALSE)</f>
        <v>540</v>
      </c>
      <c r="V60" s="272">
        <v>0.6</v>
      </c>
      <c r="W60" s="242">
        <v>1.3</v>
      </c>
      <c r="X60" s="230"/>
      <c r="Y60" s="273">
        <v>103.92</v>
      </c>
      <c r="Z60" s="274">
        <v>1.71</v>
      </c>
      <c r="AA60" s="274">
        <v>0.32</v>
      </c>
      <c r="AB60" s="274">
        <v>0.77</v>
      </c>
      <c r="AC60" s="276">
        <v>26000</v>
      </c>
      <c r="AD60" s="276">
        <v>1200</v>
      </c>
      <c r="AE60" s="276">
        <v>0</v>
      </c>
      <c r="AF60" s="213">
        <v>6.3</v>
      </c>
      <c r="AG60" s="277" t="s">
        <v>307</v>
      </c>
      <c r="AH60" s="239"/>
      <c r="AI60" s="273">
        <v>0</v>
      </c>
      <c r="AJ60" s="275">
        <v>20</v>
      </c>
      <c r="AK60" s="275">
        <v>0</v>
      </c>
      <c r="AL60" s="275">
        <v>20</v>
      </c>
      <c r="AM60" s="275">
        <v>10</v>
      </c>
      <c r="AN60" s="275">
        <v>26</v>
      </c>
      <c r="AO60" s="275">
        <v>0.01</v>
      </c>
      <c r="AP60" s="275">
        <v>26</v>
      </c>
      <c r="AQ60" s="214">
        <v>402.5405214852608</v>
      </c>
      <c r="AR60" s="1">
        <v>326.35000000000002</v>
      </c>
      <c r="AS60" s="211">
        <v>983.97</v>
      </c>
      <c r="AT60" s="212">
        <v>2914.36</v>
      </c>
      <c r="AU60" s="212">
        <v>8580.86</v>
      </c>
      <c r="AV60" s="212"/>
      <c r="AW60" s="215"/>
      <c r="AX60" s="214"/>
      <c r="AY60" s="216"/>
      <c r="AZ60" s="216"/>
      <c r="BA60" s="313"/>
      <c r="BB60" s="314"/>
      <c r="BC60" s="314"/>
      <c r="BD60" s="314"/>
      <c r="BE60" s="314"/>
      <c r="BF60" s="314"/>
      <c r="BG60" s="314"/>
      <c r="BH60" s="314"/>
      <c r="BI60" s="315"/>
    </row>
    <row r="61" spans="2:61" s="1" customFormat="1" ht="20.05" customHeight="1" x14ac:dyDescent="0.6">
      <c r="E61" s="227"/>
      <c r="G61" s="254" t="s">
        <v>50</v>
      </c>
      <c r="H61" s="255" t="s">
        <v>39</v>
      </c>
      <c r="I61" s="254" t="s">
        <v>136</v>
      </c>
      <c r="J61" s="255">
        <v>3</v>
      </c>
      <c r="K61" s="255">
        <v>0.2</v>
      </c>
      <c r="L61" s="256">
        <v>1</v>
      </c>
      <c r="M61" s="257">
        <v>2600</v>
      </c>
      <c r="N61" s="257">
        <v>40</v>
      </c>
      <c r="O61" s="258">
        <v>0</v>
      </c>
      <c r="P61" s="259" t="s">
        <v>170</v>
      </c>
      <c r="Q61" s="257">
        <f>VLOOKUP(P61,'Listen und Kennwerte'!$B$4:$O$11,2,FALSE)</f>
        <v>28</v>
      </c>
      <c r="R61" s="257">
        <f>VLOOKUP(P61,'Listen und Kennwerte'!$B$4:$O$11,2,FALSE)</f>
        <v>28</v>
      </c>
      <c r="S61" s="260">
        <f>VLOOKUP(P61,'Listen und Kennwerte'!$B$4:$O$11,8,FALSE)</f>
        <v>12600</v>
      </c>
      <c r="T61" s="260">
        <f>VLOOKUP(P61,'Listen und Kennwerte'!$B$4:$O$11,9,FALSE)</f>
        <v>10500</v>
      </c>
      <c r="U61" s="260">
        <f>VLOOKUP(P61,'Listen und Kennwerte'!$B$4:$O$11,12,FALSE)</f>
        <v>540</v>
      </c>
      <c r="V61" s="261">
        <v>0.6</v>
      </c>
      <c r="W61" s="256">
        <v>1.3</v>
      </c>
      <c r="X61" s="230"/>
      <c r="Y61" s="262">
        <v>51.96</v>
      </c>
      <c r="Z61" s="263">
        <v>0.85</v>
      </c>
      <c r="AA61" s="263">
        <v>0.87</v>
      </c>
      <c r="AB61" s="263">
        <v>1</v>
      </c>
      <c r="AC61" s="265">
        <v>13000</v>
      </c>
      <c r="AD61" s="265">
        <v>1200</v>
      </c>
      <c r="AE61" s="265">
        <v>0</v>
      </c>
      <c r="AF61" s="208">
        <v>1.1000000000000001</v>
      </c>
      <c r="AG61" s="266" t="s">
        <v>305</v>
      </c>
      <c r="AH61" s="239"/>
      <c r="AI61" s="262">
        <v>0</v>
      </c>
      <c r="AJ61" s="264">
        <v>40</v>
      </c>
      <c r="AK61" s="264">
        <v>0</v>
      </c>
      <c r="AL61" s="264">
        <v>40</v>
      </c>
      <c r="AM61" s="264">
        <v>10</v>
      </c>
      <c r="AN61" s="264">
        <v>26</v>
      </c>
      <c r="AO61" s="264">
        <v>0.01</v>
      </c>
      <c r="AP61" s="264">
        <v>26</v>
      </c>
      <c r="AQ61" s="209">
        <v>1.5816187641723356</v>
      </c>
      <c r="AR61" s="1">
        <v>39.04</v>
      </c>
      <c r="AS61" s="206">
        <v>40.32</v>
      </c>
      <c r="AT61" s="207">
        <v>40.79</v>
      </c>
      <c r="AU61" s="207">
        <v>40.96</v>
      </c>
      <c r="AV61" s="207"/>
      <c r="AW61" s="210"/>
      <c r="AX61" s="209"/>
      <c r="AY61" s="216"/>
      <c r="AZ61" s="216"/>
      <c r="BA61" s="313"/>
      <c r="BB61" s="314"/>
      <c r="BC61" s="314"/>
      <c r="BD61" s="314"/>
      <c r="BE61" s="314"/>
      <c r="BF61" s="314"/>
      <c r="BG61" s="314"/>
      <c r="BH61" s="314"/>
      <c r="BI61" s="315"/>
    </row>
    <row r="62" spans="2:61" s="1" customFormat="1" ht="20.05" customHeight="1" x14ac:dyDescent="0.6">
      <c r="E62" s="227"/>
      <c r="G62" s="267" t="s">
        <v>51</v>
      </c>
      <c r="H62" s="241" t="s">
        <v>39</v>
      </c>
      <c r="I62" s="267" t="s">
        <v>136</v>
      </c>
      <c r="J62" s="241">
        <v>3</v>
      </c>
      <c r="K62" s="241">
        <v>0.3</v>
      </c>
      <c r="L62" s="242">
        <v>1</v>
      </c>
      <c r="M62" s="268">
        <v>2600</v>
      </c>
      <c r="N62" s="268">
        <v>60</v>
      </c>
      <c r="O62" s="269">
        <v>0</v>
      </c>
      <c r="P62" s="270" t="s">
        <v>170</v>
      </c>
      <c r="Q62" s="268">
        <f>VLOOKUP(P62,'Listen und Kennwerte'!$B$4:$O$11,2,FALSE)</f>
        <v>28</v>
      </c>
      <c r="R62" s="268">
        <f>VLOOKUP(P62,'Listen und Kennwerte'!$B$4:$O$11,2,FALSE)</f>
        <v>28</v>
      </c>
      <c r="S62" s="271">
        <f>VLOOKUP(P62,'Listen und Kennwerte'!$B$4:$O$11,8,FALSE)</f>
        <v>12600</v>
      </c>
      <c r="T62" s="271">
        <f>VLOOKUP(P62,'Listen und Kennwerte'!$B$4:$O$11,9,FALSE)</f>
        <v>10500</v>
      </c>
      <c r="U62" s="271">
        <f>VLOOKUP(P62,'Listen und Kennwerte'!$B$4:$O$11,12,FALSE)</f>
        <v>540</v>
      </c>
      <c r="V62" s="272">
        <v>0.6</v>
      </c>
      <c r="W62" s="242">
        <v>1.3</v>
      </c>
      <c r="X62" s="230"/>
      <c r="Y62" s="273">
        <v>34.64</v>
      </c>
      <c r="Z62" s="274">
        <v>0.56999999999999995</v>
      </c>
      <c r="AA62" s="274">
        <v>0.96</v>
      </c>
      <c r="AB62" s="274">
        <v>1</v>
      </c>
      <c r="AC62" s="276">
        <v>8666.6666666666679</v>
      </c>
      <c r="AD62" s="276">
        <v>1200</v>
      </c>
      <c r="AE62" s="276">
        <v>0</v>
      </c>
      <c r="AF62" s="213">
        <v>0.54</v>
      </c>
      <c r="AG62" s="277" t="s">
        <v>305</v>
      </c>
      <c r="AH62" s="239"/>
      <c r="AI62" s="273">
        <v>0</v>
      </c>
      <c r="AJ62" s="275">
        <v>60</v>
      </c>
      <c r="AK62" s="275">
        <v>0</v>
      </c>
      <c r="AL62" s="275">
        <v>60</v>
      </c>
      <c r="AM62" s="275">
        <v>10</v>
      </c>
      <c r="AN62" s="275">
        <v>26</v>
      </c>
      <c r="AO62" s="275">
        <v>0.01</v>
      </c>
      <c r="AP62" s="275">
        <v>26</v>
      </c>
      <c r="AQ62" s="214">
        <v>0.69401732772738745</v>
      </c>
      <c r="AR62" s="1">
        <v>29.14</v>
      </c>
      <c r="AS62" s="211">
        <v>29.17</v>
      </c>
      <c r="AT62" s="212">
        <v>29.17</v>
      </c>
      <c r="AU62" s="212">
        <v>29.17</v>
      </c>
      <c r="AV62" s="212"/>
      <c r="AW62" s="215"/>
      <c r="AX62" s="214"/>
      <c r="AY62" s="216"/>
      <c r="AZ62" s="216"/>
      <c r="BA62" s="313"/>
      <c r="BB62" s="314"/>
      <c r="BC62" s="314"/>
      <c r="BD62" s="314"/>
      <c r="BE62" s="314"/>
      <c r="BF62" s="314"/>
      <c r="BG62" s="314"/>
      <c r="BH62" s="314"/>
      <c r="BI62" s="315"/>
    </row>
    <row r="63" spans="2:61" s="1" customFormat="1" ht="20.05" customHeight="1" x14ac:dyDescent="0.6">
      <c r="E63" s="227"/>
      <c r="G63" s="254" t="s">
        <v>52</v>
      </c>
      <c r="H63" s="255" t="s">
        <v>39</v>
      </c>
      <c r="I63" s="254" t="s">
        <v>136</v>
      </c>
      <c r="J63" s="255">
        <v>3</v>
      </c>
      <c r="K63" s="255">
        <v>0.4</v>
      </c>
      <c r="L63" s="256">
        <v>1</v>
      </c>
      <c r="M63" s="257">
        <v>2600</v>
      </c>
      <c r="N63" s="257">
        <v>80</v>
      </c>
      <c r="O63" s="258">
        <v>0</v>
      </c>
      <c r="P63" s="259" t="s">
        <v>170</v>
      </c>
      <c r="Q63" s="257">
        <f>VLOOKUP(P63,'Listen und Kennwerte'!$B$4:$O$11,2,FALSE)</f>
        <v>28</v>
      </c>
      <c r="R63" s="257">
        <f>VLOOKUP(P63,'Listen und Kennwerte'!$B$4:$O$11,2,FALSE)</f>
        <v>28</v>
      </c>
      <c r="S63" s="260">
        <f>VLOOKUP(P63,'Listen und Kennwerte'!$B$4:$O$11,8,FALSE)</f>
        <v>12600</v>
      </c>
      <c r="T63" s="260">
        <f>VLOOKUP(P63,'Listen und Kennwerte'!$B$4:$O$11,9,FALSE)</f>
        <v>10500</v>
      </c>
      <c r="U63" s="260">
        <f>VLOOKUP(P63,'Listen und Kennwerte'!$B$4:$O$11,12,FALSE)</f>
        <v>540</v>
      </c>
      <c r="V63" s="261">
        <v>0.6</v>
      </c>
      <c r="W63" s="256">
        <v>1.3</v>
      </c>
      <c r="X63" s="230"/>
      <c r="Y63" s="262">
        <v>25.98</v>
      </c>
      <c r="Z63" s="263">
        <v>0.43</v>
      </c>
      <c r="AA63" s="263">
        <v>0.98</v>
      </c>
      <c r="AB63" s="263">
        <v>1</v>
      </c>
      <c r="AC63" s="265">
        <v>6500</v>
      </c>
      <c r="AD63" s="265">
        <v>1200</v>
      </c>
      <c r="AE63" s="265">
        <v>0</v>
      </c>
      <c r="AF63" s="208">
        <v>0.35</v>
      </c>
      <c r="AG63" s="266" t="s">
        <v>305</v>
      </c>
      <c r="AH63" s="239"/>
      <c r="AI63" s="262">
        <v>0</v>
      </c>
      <c r="AJ63" s="264">
        <v>80</v>
      </c>
      <c r="AK63" s="264">
        <v>0</v>
      </c>
      <c r="AL63" s="264">
        <v>80</v>
      </c>
      <c r="AM63" s="264">
        <v>10</v>
      </c>
      <c r="AN63" s="264">
        <v>26</v>
      </c>
      <c r="AO63" s="264">
        <v>0.01</v>
      </c>
      <c r="AP63" s="264">
        <v>26</v>
      </c>
      <c r="AQ63" s="209">
        <v>0.42557165532879815</v>
      </c>
      <c r="AR63" s="1">
        <v>27.24</v>
      </c>
      <c r="AS63" s="206">
        <v>27.24</v>
      </c>
      <c r="AT63" s="207">
        <v>27.24</v>
      </c>
      <c r="AU63" s="207">
        <v>27.24</v>
      </c>
      <c r="AV63" s="207"/>
      <c r="AW63" s="210"/>
      <c r="AX63" s="209"/>
      <c r="AY63" s="216"/>
      <c r="AZ63" s="216"/>
      <c r="BA63" s="313"/>
      <c r="BB63" s="314"/>
      <c r="BC63" s="314"/>
      <c r="BD63" s="314"/>
      <c r="BE63" s="314"/>
      <c r="BF63" s="314"/>
      <c r="BG63" s="314"/>
      <c r="BH63" s="314"/>
      <c r="BI63" s="315"/>
    </row>
    <row r="64" spans="2:61" s="1" customFormat="1" ht="20.05" customHeight="1" x14ac:dyDescent="0.6">
      <c r="E64" s="227"/>
      <c r="G64" s="267" t="s">
        <v>53</v>
      </c>
      <c r="H64" s="241" t="s">
        <v>39</v>
      </c>
      <c r="I64" s="267" t="s">
        <v>136</v>
      </c>
      <c r="J64" s="241">
        <v>3</v>
      </c>
      <c r="K64" s="241">
        <v>0.5</v>
      </c>
      <c r="L64" s="242">
        <v>1</v>
      </c>
      <c r="M64" s="268">
        <v>2600</v>
      </c>
      <c r="N64" s="268">
        <v>100</v>
      </c>
      <c r="O64" s="269">
        <v>0</v>
      </c>
      <c r="P64" s="270" t="s">
        <v>170</v>
      </c>
      <c r="Q64" s="268">
        <f>VLOOKUP(P64,'Listen und Kennwerte'!$B$4:$O$11,2,FALSE)</f>
        <v>28</v>
      </c>
      <c r="R64" s="268">
        <f>VLOOKUP(P64,'Listen und Kennwerte'!$B$4:$O$11,2,FALSE)</f>
        <v>28</v>
      </c>
      <c r="S64" s="271">
        <f>VLOOKUP(P64,'Listen und Kennwerte'!$B$4:$O$11,8,FALSE)</f>
        <v>12600</v>
      </c>
      <c r="T64" s="271">
        <f>VLOOKUP(P64,'Listen und Kennwerte'!$B$4:$O$11,9,FALSE)</f>
        <v>10500</v>
      </c>
      <c r="U64" s="271">
        <f>VLOOKUP(P64,'Listen und Kennwerte'!$B$4:$O$11,12,FALSE)</f>
        <v>540</v>
      </c>
      <c r="V64" s="272">
        <v>0.6</v>
      </c>
      <c r="W64" s="242">
        <v>1.3</v>
      </c>
      <c r="X64" s="230"/>
      <c r="Y64" s="273">
        <v>20.78</v>
      </c>
      <c r="Z64" s="274">
        <v>0.34</v>
      </c>
      <c r="AA64" s="274">
        <v>1</v>
      </c>
      <c r="AB64" s="274">
        <v>1</v>
      </c>
      <c r="AC64" s="276">
        <v>5200</v>
      </c>
      <c r="AD64" s="276">
        <v>1200</v>
      </c>
      <c r="AE64" s="276">
        <v>0</v>
      </c>
      <c r="AF64" s="213">
        <v>0.25</v>
      </c>
      <c r="AG64" s="277" t="s">
        <v>305</v>
      </c>
      <c r="AH64" s="239"/>
      <c r="AI64" s="273">
        <v>0</v>
      </c>
      <c r="AJ64" s="275">
        <v>100</v>
      </c>
      <c r="AK64" s="275">
        <v>0</v>
      </c>
      <c r="AL64" s="275">
        <v>100</v>
      </c>
      <c r="AM64" s="275">
        <v>10</v>
      </c>
      <c r="AN64" s="275">
        <v>26</v>
      </c>
      <c r="AO64" s="275">
        <v>0.01</v>
      </c>
      <c r="AP64" s="275">
        <v>26</v>
      </c>
      <c r="AQ64" s="214">
        <v>0.30475257369614511</v>
      </c>
      <c r="AR64" s="1">
        <v>26.62</v>
      </c>
      <c r="AS64" s="211">
        <v>26.62</v>
      </c>
      <c r="AT64" s="212">
        <v>26.62</v>
      </c>
      <c r="AU64" s="212">
        <v>26.62</v>
      </c>
      <c r="AV64" s="212"/>
      <c r="AW64" s="215"/>
      <c r="AX64" s="214"/>
      <c r="AY64" s="216"/>
      <c r="AZ64" s="216"/>
      <c r="BA64" s="313"/>
      <c r="BB64" s="314"/>
      <c r="BC64" s="314"/>
      <c r="BD64" s="314"/>
      <c r="BE64" s="314"/>
      <c r="BF64" s="314"/>
      <c r="BG64" s="314"/>
      <c r="BH64" s="314"/>
      <c r="BI64" s="315"/>
    </row>
    <row r="65" spans="5:61" s="1" customFormat="1" ht="20.05" customHeight="1" x14ac:dyDescent="0.6">
      <c r="E65" s="227"/>
      <c r="G65" s="254" t="s">
        <v>54</v>
      </c>
      <c r="H65" s="255" t="s">
        <v>39</v>
      </c>
      <c r="I65" s="254" t="s">
        <v>136</v>
      </c>
      <c r="J65" s="255">
        <v>3</v>
      </c>
      <c r="K65" s="255">
        <v>0.6</v>
      </c>
      <c r="L65" s="256">
        <v>1</v>
      </c>
      <c r="M65" s="257">
        <v>2600</v>
      </c>
      <c r="N65" s="257">
        <v>120</v>
      </c>
      <c r="O65" s="258">
        <v>0</v>
      </c>
      <c r="P65" s="259" t="s">
        <v>170</v>
      </c>
      <c r="Q65" s="257">
        <f>VLOOKUP(P65,'Listen und Kennwerte'!$B$4:$O$11,2,FALSE)</f>
        <v>28</v>
      </c>
      <c r="R65" s="257">
        <f>VLOOKUP(P65,'Listen und Kennwerte'!$B$4:$O$11,2,FALSE)</f>
        <v>28</v>
      </c>
      <c r="S65" s="260">
        <f>VLOOKUP(P65,'Listen und Kennwerte'!$B$4:$O$11,8,FALSE)</f>
        <v>12600</v>
      </c>
      <c r="T65" s="260">
        <f>VLOOKUP(P65,'Listen und Kennwerte'!$B$4:$O$11,9,FALSE)</f>
        <v>10500</v>
      </c>
      <c r="U65" s="260">
        <f>VLOOKUP(P65,'Listen und Kennwerte'!$B$4:$O$11,12,FALSE)</f>
        <v>540</v>
      </c>
      <c r="V65" s="261">
        <v>0.6</v>
      </c>
      <c r="W65" s="256">
        <v>1.3</v>
      </c>
      <c r="X65" s="230"/>
      <c r="Y65" s="262">
        <v>17.32</v>
      </c>
      <c r="Z65" s="263">
        <v>0.28000000000000003</v>
      </c>
      <c r="AA65" s="263">
        <v>1</v>
      </c>
      <c r="AB65" s="263">
        <v>1</v>
      </c>
      <c r="AC65" s="265">
        <v>4333.3333333333339</v>
      </c>
      <c r="AD65" s="265">
        <v>1200</v>
      </c>
      <c r="AE65" s="265">
        <v>0</v>
      </c>
      <c r="AF65" s="208">
        <v>0.21</v>
      </c>
      <c r="AG65" s="266" t="s">
        <v>305</v>
      </c>
      <c r="AH65" s="239"/>
      <c r="AI65" s="262">
        <v>0</v>
      </c>
      <c r="AJ65" s="264">
        <v>120</v>
      </c>
      <c r="AK65" s="264">
        <v>0</v>
      </c>
      <c r="AL65" s="264">
        <v>120</v>
      </c>
      <c r="AM65" s="264">
        <v>10</v>
      </c>
      <c r="AN65" s="264">
        <v>26</v>
      </c>
      <c r="AO65" s="264">
        <v>0.01</v>
      </c>
      <c r="AP65" s="264">
        <v>26</v>
      </c>
      <c r="AQ65" s="209">
        <v>0.23973488252708497</v>
      </c>
      <c r="AR65" s="1">
        <v>26.35</v>
      </c>
      <c r="AS65" s="206">
        <v>26.35</v>
      </c>
      <c r="AT65" s="207">
        <v>26.35</v>
      </c>
      <c r="AU65" s="207">
        <v>26.35</v>
      </c>
      <c r="AV65" s="207"/>
      <c r="AW65" s="210"/>
      <c r="AX65" s="209"/>
      <c r="AY65" s="216"/>
      <c r="AZ65" s="216"/>
      <c r="BA65" s="313"/>
      <c r="BB65" s="314"/>
      <c r="BC65" s="314"/>
      <c r="BD65" s="314"/>
      <c r="BE65" s="314"/>
      <c r="BF65" s="314"/>
      <c r="BG65" s="314"/>
      <c r="BH65" s="314"/>
      <c r="BI65" s="315"/>
    </row>
    <row r="66" spans="5:61" s="1" customFormat="1" ht="20.05" customHeight="1" x14ac:dyDescent="0.6">
      <c r="E66" s="227"/>
      <c r="G66" s="267" t="s">
        <v>56</v>
      </c>
      <c r="H66" s="241" t="s">
        <v>39</v>
      </c>
      <c r="I66" s="267" t="s">
        <v>136</v>
      </c>
      <c r="J66" s="241">
        <v>3</v>
      </c>
      <c r="K66" s="241">
        <v>0.7</v>
      </c>
      <c r="L66" s="242">
        <v>1</v>
      </c>
      <c r="M66" s="268">
        <v>2600</v>
      </c>
      <c r="N66" s="268">
        <v>140</v>
      </c>
      <c r="O66" s="269">
        <v>0</v>
      </c>
      <c r="P66" s="270" t="s">
        <v>170</v>
      </c>
      <c r="Q66" s="268">
        <f>VLOOKUP(P66,'Listen und Kennwerte'!$B$4:$O$11,2,FALSE)</f>
        <v>28</v>
      </c>
      <c r="R66" s="268">
        <f>VLOOKUP(P66,'Listen und Kennwerte'!$B$4:$O$11,2,FALSE)</f>
        <v>28</v>
      </c>
      <c r="S66" s="271">
        <f>VLOOKUP(P66,'Listen und Kennwerte'!$B$4:$O$11,8,FALSE)</f>
        <v>12600</v>
      </c>
      <c r="T66" s="271">
        <f>VLOOKUP(P66,'Listen und Kennwerte'!$B$4:$O$11,9,FALSE)</f>
        <v>10500</v>
      </c>
      <c r="U66" s="271">
        <f>VLOOKUP(P66,'Listen und Kennwerte'!$B$4:$O$11,12,FALSE)</f>
        <v>540</v>
      </c>
      <c r="V66" s="272">
        <v>0.6</v>
      </c>
      <c r="W66" s="242">
        <v>1.3</v>
      </c>
      <c r="X66" s="230"/>
      <c r="Y66" s="273">
        <v>14.85</v>
      </c>
      <c r="Z66" s="274">
        <v>0.24</v>
      </c>
      <c r="AA66" s="274">
        <v>1.01</v>
      </c>
      <c r="AB66" s="274">
        <v>1</v>
      </c>
      <c r="AC66" s="276">
        <v>3714.2857142857147</v>
      </c>
      <c r="AD66" s="276">
        <v>1200</v>
      </c>
      <c r="AE66" s="276">
        <v>0</v>
      </c>
      <c r="AF66" s="213">
        <v>0.18</v>
      </c>
      <c r="AG66" s="277" t="s">
        <v>305</v>
      </c>
      <c r="AH66" s="239"/>
      <c r="AI66" s="273">
        <v>0</v>
      </c>
      <c r="AJ66" s="275">
        <v>140</v>
      </c>
      <c r="AK66" s="275">
        <v>0</v>
      </c>
      <c r="AL66" s="275">
        <v>140</v>
      </c>
      <c r="AM66" s="275">
        <v>10</v>
      </c>
      <c r="AN66" s="275">
        <v>26</v>
      </c>
      <c r="AO66" s="275">
        <v>0.01</v>
      </c>
      <c r="AP66" s="275">
        <v>26</v>
      </c>
      <c r="AQ66" s="214">
        <v>0.2006999817205794</v>
      </c>
      <c r="AR66" s="1">
        <v>26.22</v>
      </c>
      <c r="AS66" s="211">
        <v>26.22</v>
      </c>
      <c r="AT66" s="212">
        <v>26.22</v>
      </c>
      <c r="AU66" s="212">
        <v>26.22</v>
      </c>
      <c r="AV66" s="212"/>
      <c r="AW66" s="215"/>
      <c r="AX66" s="214"/>
      <c r="AY66" s="216"/>
      <c r="AZ66" s="216"/>
      <c r="BA66" s="313"/>
      <c r="BB66" s="314"/>
      <c r="BC66" s="314"/>
      <c r="BD66" s="314"/>
      <c r="BE66" s="314"/>
      <c r="BF66" s="314"/>
      <c r="BG66" s="314"/>
      <c r="BH66" s="314"/>
      <c r="BI66" s="315"/>
    </row>
    <row r="67" spans="5:61" s="1" customFormat="1" ht="20.05" customHeight="1" x14ac:dyDescent="0.6">
      <c r="E67" s="227"/>
      <c r="G67" s="254" t="s">
        <v>57</v>
      </c>
      <c r="H67" s="255" t="s">
        <v>39</v>
      </c>
      <c r="I67" s="254" t="s">
        <v>136</v>
      </c>
      <c r="J67" s="255">
        <v>3</v>
      </c>
      <c r="K67" s="255">
        <v>0.8</v>
      </c>
      <c r="L67" s="256">
        <v>1</v>
      </c>
      <c r="M67" s="257">
        <v>2600</v>
      </c>
      <c r="N67" s="257">
        <v>160</v>
      </c>
      <c r="O67" s="258">
        <v>0</v>
      </c>
      <c r="P67" s="259" t="s">
        <v>170</v>
      </c>
      <c r="Q67" s="257">
        <f>VLOOKUP(P67,'Listen und Kennwerte'!$B$4:$O$11,2,FALSE)</f>
        <v>28</v>
      </c>
      <c r="R67" s="257">
        <f>VLOOKUP(P67,'Listen und Kennwerte'!$B$4:$O$11,2,FALSE)</f>
        <v>28</v>
      </c>
      <c r="S67" s="260">
        <f>VLOOKUP(P67,'Listen und Kennwerte'!$B$4:$O$11,8,FALSE)</f>
        <v>12600</v>
      </c>
      <c r="T67" s="260">
        <f>VLOOKUP(P67,'Listen und Kennwerte'!$B$4:$O$11,9,FALSE)</f>
        <v>10500</v>
      </c>
      <c r="U67" s="260">
        <f>VLOOKUP(P67,'Listen und Kennwerte'!$B$4:$O$11,12,FALSE)</f>
        <v>540</v>
      </c>
      <c r="V67" s="261">
        <v>0.6</v>
      </c>
      <c r="W67" s="256">
        <v>1.3</v>
      </c>
      <c r="X67" s="230"/>
      <c r="Y67" s="262">
        <v>12.99</v>
      </c>
      <c r="Z67" s="263">
        <v>0.21</v>
      </c>
      <c r="AA67" s="263">
        <v>1.01</v>
      </c>
      <c r="AB67" s="263">
        <v>1</v>
      </c>
      <c r="AC67" s="265">
        <v>3250</v>
      </c>
      <c r="AD67" s="265">
        <v>1200</v>
      </c>
      <c r="AE67" s="265">
        <v>0</v>
      </c>
      <c r="AF67" s="208">
        <v>0.16</v>
      </c>
      <c r="AG67" s="266" t="s">
        <v>305</v>
      </c>
      <c r="AH67" s="239"/>
      <c r="AI67" s="262">
        <v>0</v>
      </c>
      <c r="AJ67" s="264">
        <v>160</v>
      </c>
      <c r="AK67" s="264">
        <v>0</v>
      </c>
      <c r="AL67" s="264">
        <v>160</v>
      </c>
      <c r="AM67" s="264">
        <v>10</v>
      </c>
      <c r="AN67" s="264">
        <v>26</v>
      </c>
      <c r="AO67" s="264">
        <v>0.01</v>
      </c>
      <c r="AP67" s="264">
        <v>26</v>
      </c>
      <c r="AQ67" s="209">
        <v>0.17541614299886621</v>
      </c>
      <c r="AR67" s="1">
        <v>26.15</v>
      </c>
      <c r="AS67" s="206">
        <v>26.15</v>
      </c>
      <c r="AT67" s="207">
        <v>26.15</v>
      </c>
      <c r="AU67" s="207">
        <v>26.15</v>
      </c>
      <c r="AV67" s="207"/>
      <c r="AW67" s="210"/>
      <c r="AX67" s="209"/>
      <c r="AY67" s="216"/>
      <c r="AZ67" s="216"/>
      <c r="BA67" s="313"/>
      <c r="BB67" s="314"/>
      <c r="BC67" s="314"/>
      <c r="BD67" s="314"/>
      <c r="BE67" s="314"/>
      <c r="BF67" s="314"/>
      <c r="BG67" s="314"/>
      <c r="BH67" s="314"/>
      <c r="BI67" s="315"/>
    </row>
    <row r="68" spans="5:61" s="1" customFormat="1" ht="20.05" customHeight="1" x14ac:dyDescent="0.6">
      <c r="E68" s="227"/>
      <c r="G68" s="267" t="s">
        <v>58</v>
      </c>
      <c r="H68" s="241" t="s">
        <v>39</v>
      </c>
      <c r="I68" s="267" t="s">
        <v>136</v>
      </c>
      <c r="J68" s="241">
        <v>3</v>
      </c>
      <c r="K68" s="241">
        <v>0.9</v>
      </c>
      <c r="L68" s="242">
        <v>1</v>
      </c>
      <c r="M68" s="268">
        <v>2600</v>
      </c>
      <c r="N68" s="268">
        <v>180</v>
      </c>
      <c r="O68" s="269">
        <v>0</v>
      </c>
      <c r="P68" s="270" t="s">
        <v>170</v>
      </c>
      <c r="Q68" s="268">
        <f>VLOOKUP(P68,'Listen und Kennwerte'!$B$4:$O$11,2,FALSE)</f>
        <v>28</v>
      </c>
      <c r="R68" s="268">
        <f>VLOOKUP(P68,'Listen und Kennwerte'!$B$4:$O$11,2,FALSE)</f>
        <v>28</v>
      </c>
      <c r="S68" s="271">
        <f>VLOOKUP(P68,'Listen und Kennwerte'!$B$4:$O$11,8,FALSE)</f>
        <v>12600</v>
      </c>
      <c r="T68" s="271">
        <f>VLOOKUP(P68,'Listen und Kennwerte'!$B$4:$O$11,9,FALSE)</f>
        <v>10500</v>
      </c>
      <c r="U68" s="271">
        <f>VLOOKUP(P68,'Listen und Kennwerte'!$B$4:$O$11,12,FALSE)</f>
        <v>540</v>
      </c>
      <c r="V68" s="272">
        <v>0.6</v>
      </c>
      <c r="W68" s="242">
        <v>1.3</v>
      </c>
      <c r="X68" s="230"/>
      <c r="Y68" s="273">
        <v>11.55</v>
      </c>
      <c r="Z68" s="274">
        <v>0.19</v>
      </c>
      <c r="AA68" s="274">
        <v>1.01</v>
      </c>
      <c r="AB68" s="274">
        <v>1</v>
      </c>
      <c r="AC68" s="276">
        <v>2888.8888888888887</v>
      </c>
      <c r="AD68" s="276">
        <v>1200</v>
      </c>
      <c r="AE68" s="276">
        <v>0</v>
      </c>
      <c r="AF68" s="213">
        <v>0.14000000000000001</v>
      </c>
      <c r="AG68" s="277" t="s">
        <v>305</v>
      </c>
      <c r="AH68" s="239"/>
      <c r="AI68" s="273">
        <v>0</v>
      </c>
      <c r="AJ68" s="275">
        <v>180</v>
      </c>
      <c r="AK68" s="275">
        <v>0</v>
      </c>
      <c r="AL68" s="275">
        <v>180</v>
      </c>
      <c r="AM68" s="275">
        <v>10</v>
      </c>
      <c r="AN68" s="275">
        <v>26</v>
      </c>
      <c r="AO68" s="275">
        <v>0.01</v>
      </c>
      <c r="AP68" s="275">
        <v>26</v>
      </c>
      <c r="AQ68" s="214">
        <v>0.15809366472103245</v>
      </c>
      <c r="AR68" s="1">
        <v>26.1</v>
      </c>
      <c r="AS68" s="211">
        <v>26.1</v>
      </c>
      <c r="AT68" s="212">
        <v>26.1</v>
      </c>
      <c r="AU68" s="212">
        <v>26.1</v>
      </c>
      <c r="AV68" s="212"/>
      <c r="AW68" s="215"/>
      <c r="AX68" s="214"/>
      <c r="AY68" s="216"/>
      <c r="AZ68" s="216"/>
      <c r="BA68" s="313"/>
      <c r="BB68" s="314"/>
      <c r="BC68" s="314"/>
      <c r="BD68" s="314"/>
      <c r="BE68" s="314"/>
      <c r="BF68" s="314"/>
      <c r="BG68" s="314"/>
      <c r="BH68" s="314"/>
      <c r="BI68" s="315"/>
    </row>
    <row r="69" spans="5:61" s="1" customFormat="1" ht="20.05" customHeight="1" x14ac:dyDescent="0.6">
      <c r="E69" s="227"/>
      <c r="G69" s="278" t="s">
        <v>59</v>
      </c>
      <c r="H69" s="279" t="s">
        <v>39</v>
      </c>
      <c r="I69" s="278" t="s">
        <v>136</v>
      </c>
      <c r="J69" s="279">
        <v>3</v>
      </c>
      <c r="K69" s="279">
        <v>1</v>
      </c>
      <c r="L69" s="280">
        <v>1</v>
      </c>
      <c r="M69" s="281">
        <v>2600</v>
      </c>
      <c r="N69" s="281">
        <v>200</v>
      </c>
      <c r="O69" s="282">
        <v>0</v>
      </c>
      <c r="P69" s="283" t="s">
        <v>170</v>
      </c>
      <c r="Q69" s="281">
        <f>VLOOKUP(P69,'Listen und Kennwerte'!$B$4:$O$11,2,FALSE)</f>
        <v>28</v>
      </c>
      <c r="R69" s="281">
        <f>VLOOKUP(P69,'Listen und Kennwerte'!$B$4:$O$11,2,FALSE)</f>
        <v>28</v>
      </c>
      <c r="S69" s="284">
        <f>VLOOKUP(P69,'Listen und Kennwerte'!$B$4:$O$11,8,FALSE)</f>
        <v>12600</v>
      </c>
      <c r="T69" s="284">
        <f>VLOOKUP(P69,'Listen und Kennwerte'!$B$4:$O$11,9,FALSE)</f>
        <v>10500</v>
      </c>
      <c r="U69" s="284">
        <f>VLOOKUP(P69,'Listen und Kennwerte'!$B$4:$O$11,12,FALSE)</f>
        <v>540</v>
      </c>
      <c r="V69" s="285">
        <v>0.6</v>
      </c>
      <c r="W69" s="280">
        <v>1.3</v>
      </c>
      <c r="X69" s="230"/>
      <c r="Y69" s="286">
        <v>10.39</v>
      </c>
      <c r="Z69" s="287">
        <v>0.17</v>
      </c>
      <c r="AA69" s="287">
        <v>1.01</v>
      </c>
      <c r="AB69" s="287">
        <v>1</v>
      </c>
      <c r="AC69" s="289">
        <v>2600</v>
      </c>
      <c r="AD69" s="289">
        <v>1200</v>
      </c>
      <c r="AE69" s="289">
        <v>0</v>
      </c>
      <c r="AF69" s="217">
        <v>0.13</v>
      </c>
      <c r="AG69" s="290" t="s">
        <v>305</v>
      </c>
      <c r="AH69" s="239"/>
      <c r="AI69" s="286">
        <v>0</v>
      </c>
      <c r="AJ69" s="288">
        <v>200</v>
      </c>
      <c r="AK69" s="288">
        <v>0</v>
      </c>
      <c r="AL69" s="288">
        <v>200</v>
      </c>
      <c r="AM69" s="288">
        <v>10</v>
      </c>
      <c r="AN69" s="288">
        <v>26</v>
      </c>
      <c r="AO69" s="288">
        <v>0.01</v>
      </c>
      <c r="AP69" s="288">
        <v>26</v>
      </c>
      <c r="AQ69" s="218">
        <v>0.14571725056689344</v>
      </c>
      <c r="AR69" s="1">
        <v>26.08</v>
      </c>
      <c r="AS69" s="206">
        <v>26.08</v>
      </c>
      <c r="AT69" s="207">
        <v>26.08</v>
      </c>
      <c r="AU69" s="207">
        <v>26.08</v>
      </c>
      <c r="AV69" s="207"/>
      <c r="AW69" s="210"/>
      <c r="AX69" s="209"/>
      <c r="AY69" s="216"/>
      <c r="AZ69" s="216"/>
      <c r="BA69" s="316"/>
      <c r="BB69" s="317"/>
      <c r="BC69" s="317"/>
      <c r="BD69" s="317"/>
      <c r="BE69" s="317"/>
      <c r="BF69" s="317"/>
      <c r="BG69" s="317"/>
      <c r="BH69" s="317"/>
      <c r="BI69" s="318"/>
    </row>
    <row r="70" spans="5:61" x14ac:dyDescent="0.6">
      <c r="G70" s="18"/>
      <c r="H70" s="18"/>
      <c r="I70" s="18"/>
      <c r="J70" s="18"/>
      <c r="K70" s="18"/>
      <c r="L70" s="18"/>
      <c r="M70" s="18"/>
      <c r="N70" s="18"/>
      <c r="O70" s="18"/>
      <c r="P70" s="27"/>
      <c r="Q70" s="28"/>
      <c r="R70" s="28"/>
      <c r="S70" s="18"/>
      <c r="T70" s="29"/>
      <c r="U70" s="29"/>
      <c r="V70" s="18"/>
      <c r="W70" s="18"/>
      <c r="Y70" s="10"/>
      <c r="Z70" s="30"/>
      <c r="AA70" s="30"/>
      <c r="AB70" s="30"/>
      <c r="AC70" s="31"/>
      <c r="AD70" s="31"/>
      <c r="AE70" s="31"/>
      <c r="AF70" s="31"/>
      <c r="AG70" s="32"/>
      <c r="AI70" s="10"/>
      <c r="AJ70" s="10"/>
      <c r="AK70" s="10"/>
      <c r="AL70" s="10"/>
      <c r="AM70" s="10"/>
      <c r="AN70" s="10"/>
      <c r="AO70" s="10"/>
      <c r="AP70" s="10"/>
      <c r="AQ70" s="32"/>
      <c r="AS70" s="10"/>
      <c r="AT70" s="10"/>
      <c r="AU70" s="10"/>
      <c r="AV70" s="10"/>
      <c r="AX70" s="32"/>
    </row>
    <row r="71" spans="5:61" x14ac:dyDescent="0.6">
      <c r="G71" s="18"/>
      <c r="H71" s="18"/>
      <c r="I71" s="18"/>
      <c r="J71" s="18"/>
      <c r="K71" s="18"/>
      <c r="L71" s="18"/>
      <c r="M71" s="18"/>
      <c r="N71" s="18"/>
      <c r="O71" s="18"/>
      <c r="P71" s="27"/>
      <c r="Q71" s="28"/>
      <c r="R71" s="28"/>
      <c r="S71" s="18"/>
      <c r="T71" s="29"/>
      <c r="U71" s="29"/>
      <c r="V71" s="18"/>
      <c r="W71" s="18"/>
      <c r="Y71" s="10"/>
      <c r="Z71" s="30"/>
      <c r="AA71" s="30"/>
      <c r="AB71" s="30"/>
      <c r="AC71" s="31"/>
      <c r="AD71" s="31"/>
      <c r="AE71" s="31"/>
      <c r="AF71" s="31"/>
      <c r="AG71" s="32"/>
      <c r="AI71" s="10"/>
      <c r="AJ71" s="10"/>
      <c r="AK71" s="10"/>
      <c r="AL71" s="10"/>
      <c r="AM71" s="10"/>
      <c r="AN71" s="10"/>
      <c r="AO71" s="10"/>
      <c r="AP71" s="10"/>
      <c r="AQ71" s="32"/>
      <c r="AS71" s="10"/>
      <c r="AT71" s="10"/>
      <c r="AU71" s="10"/>
      <c r="AV71" s="10"/>
      <c r="AX71" s="32"/>
    </row>
    <row r="72" spans="5:61" x14ac:dyDescent="0.6">
      <c r="G72" s="18"/>
      <c r="H72" s="18"/>
      <c r="I72" s="18"/>
      <c r="J72" s="18"/>
      <c r="K72" s="18"/>
      <c r="L72" s="18"/>
      <c r="M72" s="18"/>
      <c r="N72" s="18"/>
      <c r="O72" s="18"/>
      <c r="P72" s="27"/>
      <c r="Q72" s="28"/>
      <c r="R72" s="28"/>
      <c r="S72" s="18"/>
      <c r="T72" s="29"/>
      <c r="U72" s="29"/>
      <c r="V72" s="18"/>
      <c r="W72" s="18"/>
      <c r="Y72" s="10"/>
      <c r="Z72" s="30"/>
      <c r="AA72" s="30"/>
      <c r="AB72" s="30"/>
      <c r="AC72" s="31"/>
      <c r="AD72" s="31"/>
      <c r="AE72" s="31"/>
      <c r="AF72" s="31"/>
      <c r="AG72" s="32"/>
      <c r="AI72" s="10"/>
      <c r="AJ72" s="10"/>
      <c r="AK72" s="10"/>
      <c r="AL72" s="10"/>
      <c r="AM72" s="10"/>
      <c r="AN72" s="10"/>
      <c r="AO72" s="10"/>
      <c r="AP72" s="10"/>
      <c r="AQ72" s="32"/>
      <c r="AS72" s="10"/>
      <c r="AT72" s="10"/>
      <c r="AU72" s="10"/>
      <c r="AV72" s="10"/>
      <c r="AX72" s="32"/>
    </row>
    <row r="73" spans="5:61" x14ac:dyDescent="0.6">
      <c r="G73" s="18"/>
      <c r="H73" s="18"/>
      <c r="I73" s="18"/>
      <c r="J73" s="18"/>
      <c r="K73" s="18"/>
      <c r="L73" s="18"/>
      <c r="M73" s="18"/>
      <c r="N73" s="18"/>
      <c r="O73" s="18"/>
      <c r="P73" s="27"/>
      <c r="Q73" s="28"/>
      <c r="R73" s="28"/>
      <c r="S73" s="18"/>
      <c r="T73" s="29"/>
      <c r="U73" s="29"/>
      <c r="V73" s="18"/>
      <c r="W73" s="18"/>
      <c r="Y73" s="10"/>
      <c r="Z73" s="30"/>
      <c r="AA73" s="30"/>
      <c r="AB73" s="30"/>
      <c r="AC73" s="31"/>
      <c r="AD73" s="31"/>
      <c r="AE73" s="31"/>
      <c r="AF73" s="31"/>
      <c r="AG73" s="32"/>
      <c r="AI73" s="10"/>
      <c r="AJ73" s="10"/>
      <c r="AK73" s="10"/>
      <c r="AL73" s="10"/>
      <c r="AM73" s="10"/>
      <c r="AN73" s="10"/>
      <c r="AO73" s="10"/>
      <c r="AP73" s="10"/>
      <c r="AQ73" s="32"/>
      <c r="AS73" s="10"/>
      <c r="AT73" s="10"/>
      <c r="AU73" s="10"/>
      <c r="AV73" s="10"/>
      <c r="AX73" s="32"/>
    </row>
    <row r="74" spans="5:61" x14ac:dyDescent="0.6">
      <c r="G74" s="18"/>
      <c r="H74" s="18"/>
      <c r="I74" s="18"/>
      <c r="J74" s="18"/>
      <c r="K74" s="18"/>
      <c r="L74" s="18"/>
      <c r="M74" s="18"/>
      <c r="N74" s="18"/>
      <c r="O74" s="18"/>
      <c r="P74" s="27"/>
      <c r="Q74" s="28"/>
      <c r="R74" s="28"/>
      <c r="S74" s="18"/>
      <c r="T74" s="29"/>
      <c r="U74" s="29"/>
      <c r="V74" s="18"/>
      <c r="W74" s="18"/>
      <c r="Y74" s="10"/>
      <c r="Z74" s="30"/>
      <c r="AA74" s="30"/>
      <c r="AB74" s="30"/>
      <c r="AC74" s="31"/>
      <c r="AD74" s="31"/>
      <c r="AE74" s="31"/>
      <c r="AF74" s="31"/>
      <c r="AG74" s="32"/>
      <c r="AI74" s="10"/>
      <c r="AJ74" s="10"/>
      <c r="AK74" s="10"/>
      <c r="AL74" s="10"/>
      <c r="AM74" s="10"/>
      <c r="AN74" s="10"/>
      <c r="AO74" s="10"/>
      <c r="AP74" s="10"/>
      <c r="AQ74" s="32"/>
      <c r="AS74" s="10"/>
      <c r="AT74" s="10"/>
      <c r="AU74" s="10"/>
      <c r="AV74" s="10"/>
      <c r="AX74" s="32"/>
    </row>
    <row r="75" spans="5:61" x14ac:dyDescent="0.6">
      <c r="G75" s="18"/>
      <c r="H75" s="18"/>
      <c r="I75" s="18"/>
      <c r="J75" s="18"/>
      <c r="K75" s="18"/>
      <c r="L75" s="18"/>
      <c r="M75" s="18"/>
      <c r="N75" s="18"/>
      <c r="O75" s="18"/>
      <c r="P75" s="27"/>
      <c r="Q75" s="28"/>
      <c r="R75" s="28"/>
      <c r="S75" s="18"/>
      <c r="T75" s="29"/>
      <c r="U75" s="29"/>
      <c r="V75" s="18"/>
      <c r="W75" s="18"/>
      <c r="Y75" s="10"/>
      <c r="Z75" s="30"/>
      <c r="AA75" s="30"/>
      <c r="AB75" s="30"/>
      <c r="AC75" s="31"/>
      <c r="AD75" s="31"/>
      <c r="AE75" s="31"/>
      <c r="AF75" s="31"/>
      <c r="AG75" s="32"/>
      <c r="AI75" s="10"/>
      <c r="AJ75" s="10"/>
      <c r="AK75" s="10"/>
      <c r="AL75" s="10"/>
      <c r="AM75" s="10"/>
      <c r="AN75" s="10"/>
      <c r="AO75" s="10"/>
      <c r="AP75" s="10"/>
      <c r="AQ75" s="32"/>
      <c r="AS75" s="10"/>
      <c r="AT75" s="10"/>
      <c r="AU75" s="10"/>
      <c r="AV75" s="10"/>
      <c r="AX75" s="32"/>
    </row>
    <row r="76" spans="5:61" x14ac:dyDescent="0.6">
      <c r="G76" s="18"/>
      <c r="H76" s="18"/>
      <c r="I76" s="18"/>
      <c r="J76" s="18"/>
      <c r="K76" s="18"/>
      <c r="L76" s="18"/>
      <c r="M76" s="18"/>
      <c r="N76" s="18"/>
      <c r="O76" s="18"/>
      <c r="P76" s="27"/>
      <c r="Q76" s="28"/>
      <c r="R76" s="28"/>
      <c r="S76" s="18"/>
      <c r="T76" s="29"/>
      <c r="U76" s="29"/>
      <c r="V76" s="18"/>
      <c r="W76" s="18"/>
      <c r="Y76" s="10"/>
      <c r="Z76" s="30"/>
      <c r="AA76" s="30"/>
      <c r="AB76" s="30"/>
      <c r="AC76" s="31"/>
      <c r="AD76" s="31"/>
      <c r="AE76" s="31"/>
      <c r="AF76" s="31"/>
      <c r="AG76" s="32"/>
      <c r="AI76" s="10"/>
      <c r="AJ76" s="10"/>
      <c r="AK76" s="10"/>
      <c r="AL76" s="10"/>
      <c r="AM76" s="10"/>
      <c r="AN76" s="10"/>
      <c r="AO76" s="10"/>
      <c r="AP76" s="10"/>
      <c r="AQ76" s="32"/>
      <c r="AS76" s="10"/>
      <c r="AT76" s="10"/>
      <c r="AU76" s="10"/>
      <c r="AV76" s="10"/>
      <c r="AX76" s="32"/>
    </row>
    <row r="77" spans="5:61" x14ac:dyDescent="0.6">
      <c r="G77" s="18"/>
      <c r="H77" s="18"/>
      <c r="I77" s="18"/>
      <c r="J77" s="18"/>
      <c r="K77" s="18"/>
      <c r="L77" s="18"/>
      <c r="M77" s="18"/>
      <c r="N77" s="18"/>
      <c r="O77" s="18"/>
      <c r="P77" s="27"/>
      <c r="Q77" s="28"/>
      <c r="R77" s="28"/>
      <c r="S77" s="18"/>
      <c r="T77" s="29"/>
      <c r="U77" s="29"/>
      <c r="V77" s="18"/>
      <c r="W77" s="18"/>
      <c r="Y77" s="10"/>
      <c r="Z77" s="30"/>
      <c r="AA77" s="30"/>
      <c r="AB77" s="30"/>
      <c r="AC77" s="31"/>
      <c r="AD77" s="31"/>
      <c r="AE77" s="31"/>
      <c r="AF77" s="31"/>
      <c r="AG77" s="32"/>
      <c r="AI77" s="10"/>
      <c r="AJ77" s="10"/>
      <c r="AK77" s="10"/>
      <c r="AL77" s="10"/>
      <c r="AM77" s="10"/>
      <c r="AN77" s="10"/>
      <c r="AO77" s="10"/>
      <c r="AP77" s="10"/>
      <c r="AQ77" s="32"/>
      <c r="AS77" s="10"/>
      <c r="AT77" s="10"/>
      <c r="AU77" s="10"/>
      <c r="AV77" s="10"/>
      <c r="AX77" s="32"/>
    </row>
    <row r="78" spans="5:61" x14ac:dyDescent="0.6">
      <c r="G78" s="18"/>
      <c r="H78" s="18"/>
      <c r="I78" s="18"/>
      <c r="J78" s="18"/>
      <c r="K78" s="18"/>
      <c r="L78" s="18"/>
      <c r="M78" s="18"/>
      <c r="N78" s="18"/>
      <c r="O78" s="18"/>
      <c r="P78" s="27"/>
      <c r="Q78" s="28"/>
      <c r="R78" s="28"/>
      <c r="S78" s="18"/>
      <c r="T78" s="29"/>
      <c r="U78" s="29"/>
      <c r="V78" s="18"/>
      <c r="W78" s="18"/>
      <c r="Y78" s="10"/>
      <c r="Z78" s="30"/>
      <c r="AA78" s="30"/>
      <c r="AB78" s="30"/>
      <c r="AC78" s="31"/>
      <c r="AD78" s="31"/>
      <c r="AE78" s="31"/>
      <c r="AF78" s="31"/>
      <c r="AG78" s="32"/>
      <c r="AI78" s="10"/>
      <c r="AJ78" s="10"/>
      <c r="AK78" s="10"/>
      <c r="AL78" s="10"/>
      <c r="AM78" s="10"/>
      <c r="AN78" s="10"/>
      <c r="AO78" s="10"/>
      <c r="AP78" s="10"/>
      <c r="AQ78" s="32"/>
      <c r="AS78" s="10"/>
      <c r="AT78" s="10"/>
      <c r="AU78" s="10"/>
      <c r="AV78" s="10"/>
      <c r="AX78" s="32"/>
    </row>
    <row r="79" spans="5:61" x14ac:dyDescent="0.6">
      <c r="G79" s="18"/>
      <c r="H79" s="18"/>
      <c r="I79" s="18"/>
      <c r="J79" s="18"/>
      <c r="K79" s="18"/>
      <c r="L79" s="18"/>
      <c r="M79" s="18"/>
      <c r="N79" s="18"/>
      <c r="O79" s="18"/>
      <c r="P79" s="27"/>
      <c r="Q79" s="28"/>
      <c r="R79" s="28"/>
      <c r="S79" s="18"/>
      <c r="T79" s="29"/>
      <c r="U79" s="29"/>
      <c r="V79" s="18"/>
      <c r="W79" s="18"/>
      <c r="Y79" s="10"/>
      <c r="Z79" s="30"/>
      <c r="AA79" s="30"/>
      <c r="AB79" s="30"/>
      <c r="AC79" s="31"/>
      <c r="AD79" s="31"/>
      <c r="AE79" s="31"/>
      <c r="AF79" s="31"/>
      <c r="AG79" s="32"/>
      <c r="AI79" s="10"/>
      <c r="AJ79" s="10"/>
      <c r="AK79" s="10"/>
      <c r="AL79" s="10"/>
      <c r="AM79" s="10"/>
      <c r="AN79" s="10"/>
      <c r="AO79" s="10"/>
      <c r="AP79" s="10"/>
      <c r="AQ79" s="32"/>
      <c r="AS79" s="10"/>
      <c r="AT79" s="10"/>
      <c r="AU79" s="10"/>
      <c r="AV79" s="10"/>
      <c r="AX79" s="32"/>
    </row>
    <row r="80" spans="5:61" x14ac:dyDescent="0.6">
      <c r="G80" s="18"/>
      <c r="H80" s="18"/>
      <c r="I80" s="18"/>
      <c r="J80" s="18"/>
      <c r="K80" s="18"/>
      <c r="L80" s="18"/>
      <c r="M80" s="18"/>
      <c r="N80" s="18"/>
      <c r="O80" s="18"/>
      <c r="P80" s="27"/>
      <c r="Q80" s="28"/>
      <c r="R80" s="28"/>
      <c r="S80" s="18"/>
      <c r="T80" s="29"/>
      <c r="U80" s="29"/>
      <c r="V80" s="18"/>
      <c r="W80" s="18"/>
      <c r="Y80" s="10"/>
      <c r="Z80" s="30"/>
      <c r="AA80" s="30"/>
      <c r="AB80" s="30"/>
      <c r="AC80" s="31"/>
      <c r="AD80" s="31"/>
      <c r="AE80" s="31"/>
      <c r="AF80" s="31"/>
      <c r="AG80" s="32"/>
      <c r="AI80" s="10"/>
      <c r="AJ80" s="10"/>
      <c r="AK80" s="10"/>
      <c r="AL80" s="10"/>
      <c r="AM80" s="10"/>
      <c r="AN80" s="10"/>
      <c r="AO80" s="10"/>
      <c r="AP80" s="10"/>
      <c r="AQ80" s="32"/>
      <c r="AS80" s="10"/>
      <c r="AT80" s="10"/>
      <c r="AU80" s="10"/>
      <c r="AV80" s="10"/>
      <c r="AX80" s="32"/>
    </row>
    <row r="81" spans="7:50" x14ac:dyDescent="0.6">
      <c r="G81" s="18"/>
      <c r="H81" s="18"/>
      <c r="I81" s="18"/>
      <c r="J81" s="18"/>
      <c r="K81" s="18"/>
      <c r="L81" s="18"/>
      <c r="M81" s="18"/>
      <c r="N81" s="18"/>
      <c r="O81" s="18"/>
      <c r="P81" s="27"/>
      <c r="Q81" s="28"/>
      <c r="R81" s="28"/>
      <c r="S81" s="18"/>
      <c r="T81" s="29"/>
      <c r="U81" s="29"/>
      <c r="V81" s="18"/>
      <c r="W81" s="18"/>
      <c r="Y81" s="10"/>
      <c r="Z81" s="30"/>
      <c r="AA81" s="30"/>
      <c r="AB81" s="30"/>
      <c r="AC81" s="31"/>
      <c r="AD81" s="31"/>
      <c r="AE81" s="31"/>
      <c r="AF81" s="31"/>
      <c r="AG81" s="32"/>
      <c r="AI81" s="10"/>
      <c r="AJ81" s="10"/>
      <c r="AK81" s="10"/>
      <c r="AL81" s="10"/>
      <c r="AM81" s="10"/>
      <c r="AN81" s="10"/>
      <c r="AO81" s="10"/>
      <c r="AP81" s="10"/>
      <c r="AQ81" s="32"/>
      <c r="AS81" s="10"/>
      <c r="AT81" s="10"/>
      <c r="AU81" s="10"/>
      <c r="AV81" s="10"/>
      <c r="AX81" s="32"/>
    </row>
    <row r="82" spans="7:50" x14ac:dyDescent="0.6">
      <c r="G82" s="18"/>
      <c r="H82" s="18"/>
      <c r="I82" s="18"/>
      <c r="J82" s="18"/>
      <c r="K82" s="18"/>
      <c r="L82" s="18"/>
      <c r="M82" s="18"/>
      <c r="N82" s="18"/>
      <c r="O82" s="18"/>
      <c r="P82" s="27"/>
      <c r="Q82" s="28"/>
      <c r="R82" s="28"/>
      <c r="S82" s="18"/>
      <c r="T82" s="29"/>
      <c r="U82" s="29"/>
      <c r="V82" s="18"/>
      <c r="W82" s="18"/>
      <c r="Y82" s="10"/>
      <c r="Z82" s="30"/>
      <c r="AA82" s="30"/>
      <c r="AB82" s="30"/>
      <c r="AC82" s="31"/>
      <c r="AD82" s="31"/>
      <c r="AE82" s="31"/>
      <c r="AF82" s="31"/>
      <c r="AG82" s="32"/>
      <c r="AI82" s="10"/>
      <c r="AJ82" s="10"/>
      <c r="AK82" s="10"/>
      <c r="AL82" s="10"/>
      <c r="AM82" s="10"/>
      <c r="AN82" s="10"/>
      <c r="AO82" s="10"/>
      <c r="AP82" s="10"/>
      <c r="AQ82" s="32"/>
      <c r="AS82" s="10"/>
      <c r="AT82" s="10"/>
      <c r="AU82" s="10"/>
      <c r="AV82" s="10"/>
      <c r="AX82" s="32"/>
    </row>
    <row r="83" spans="7:50" x14ac:dyDescent="0.6">
      <c r="G83" s="18"/>
      <c r="H83" s="18"/>
      <c r="I83" s="18"/>
      <c r="J83" s="18"/>
      <c r="K83" s="18"/>
      <c r="L83" s="18"/>
      <c r="M83" s="18"/>
      <c r="N83" s="18"/>
      <c r="O83" s="18"/>
      <c r="P83" s="27"/>
      <c r="Q83" s="28"/>
      <c r="R83" s="28"/>
      <c r="S83" s="18"/>
      <c r="T83" s="29"/>
      <c r="U83" s="29"/>
      <c r="V83" s="18"/>
      <c r="W83" s="18"/>
      <c r="Y83" s="10"/>
      <c r="Z83" s="30"/>
      <c r="AA83" s="30"/>
      <c r="AB83" s="30"/>
      <c r="AC83" s="31"/>
      <c r="AD83" s="31"/>
      <c r="AE83" s="31"/>
      <c r="AF83" s="31"/>
      <c r="AG83" s="32"/>
      <c r="AI83" s="10"/>
      <c r="AJ83" s="10"/>
      <c r="AK83" s="10"/>
      <c r="AL83" s="10"/>
      <c r="AM83" s="10"/>
      <c r="AN83" s="10"/>
      <c r="AO83" s="10"/>
      <c r="AP83" s="10"/>
      <c r="AQ83" s="32"/>
      <c r="AS83" s="10"/>
      <c r="AT83" s="10"/>
      <c r="AU83" s="10"/>
      <c r="AV83" s="10"/>
      <c r="AX83" s="32"/>
    </row>
    <row r="84" spans="7:50" x14ac:dyDescent="0.6">
      <c r="G84" s="18"/>
      <c r="H84" s="18"/>
      <c r="I84" s="18"/>
      <c r="J84" s="18"/>
      <c r="K84" s="18"/>
      <c r="L84" s="18"/>
      <c r="M84" s="18"/>
      <c r="N84" s="18"/>
      <c r="O84" s="18"/>
      <c r="P84" s="27"/>
      <c r="Q84" s="28"/>
      <c r="R84" s="28"/>
      <c r="S84" s="18"/>
      <c r="T84" s="29"/>
      <c r="U84" s="29"/>
      <c r="V84" s="18"/>
      <c r="W84" s="18"/>
      <c r="Y84" s="10"/>
      <c r="Z84" s="30"/>
      <c r="AA84" s="30"/>
      <c r="AB84" s="30"/>
      <c r="AC84" s="31"/>
      <c r="AD84" s="31"/>
      <c r="AE84" s="31"/>
      <c r="AF84" s="31"/>
      <c r="AG84" s="32"/>
      <c r="AI84" s="10"/>
      <c r="AJ84" s="10"/>
      <c r="AK84" s="10"/>
      <c r="AL84" s="10"/>
      <c r="AM84" s="10"/>
      <c r="AN84" s="10"/>
      <c r="AO84" s="10"/>
      <c r="AP84" s="10"/>
      <c r="AQ84" s="32"/>
      <c r="AS84" s="10"/>
      <c r="AT84" s="10"/>
      <c r="AU84" s="10"/>
      <c r="AV84" s="10"/>
      <c r="AX84" s="32"/>
    </row>
    <row r="85" spans="7:50" x14ac:dyDescent="0.6">
      <c r="G85" s="18"/>
      <c r="H85" s="18"/>
      <c r="I85" s="18"/>
      <c r="J85" s="18"/>
      <c r="K85" s="18"/>
      <c r="L85" s="18"/>
      <c r="M85" s="18"/>
      <c r="N85" s="18"/>
      <c r="O85" s="18"/>
      <c r="P85" s="27"/>
      <c r="Q85" s="28"/>
      <c r="R85" s="28"/>
      <c r="S85" s="18"/>
      <c r="T85" s="29"/>
      <c r="U85" s="29"/>
      <c r="V85" s="18"/>
      <c r="W85" s="18"/>
      <c r="Y85" s="10"/>
      <c r="Z85" s="30"/>
      <c r="AA85" s="30"/>
      <c r="AB85" s="30"/>
      <c r="AC85" s="31"/>
      <c r="AD85" s="31"/>
      <c r="AE85" s="31"/>
      <c r="AF85" s="31"/>
      <c r="AG85" s="32"/>
      <c r="AI85" s="10"/>
      <c r="AJ85" s="10"/>
      <c r="AK85" s="10"/>
      <c r="AL85" s="10"/>
      <c r="AM85" s="10"/>
      <c r="AN85" s="10"/>
      <c r="AO85" s="10"/>
      <c r="AP85" s="10"/>
      <c r="AQ85" s="32"/>
      <c r="AS85" s="10"/>
      <c r="AT85" s="10"/>
      <c r="AU85" s="10"/>
      <c r="AV85" s="10"/>
      <c r="AX85" s="32"/>
    </row>
    <row r="86" spans="7:50" x14ac:dyDescent="0.6">
      <c r="G86" s="18"/>
      <c r="H86" s="18"/>
      <c r="I86" s="18"/>
      <c r="J86" s="18"/>
      <c r="K86" s="18"/>
      <c r="L86" s="18"/>
      <c r="M86" s="18"/>
      <c r="N86" s="18"/>
      <c r="O86" s="18"/>
      <c r="P86" s="27"/>
      <c r="Q86" s="28"/>
      <c r="R86" s="28"/>
      <c r="S86" s="18"/>
      <c r="T86" s="29"/>
      <c r="U86" s="29"/>
      <c r="V86" s="18"/>
      <c r="W86" s="18"/>
      <c r="Y86" s="10"/>
      <c r="Z86" s="30"/>
      <c r="AA86" s="30"/>
      <c r="AB86" s="30"/>
      <c r="AC86" s="31"/>
      <c r="AD86" s="31"/>
      <c r="AE86" s="31"/>
      <c r="AF86" s="31"/>
      <c r="AG86" s="32"/>
      <c r="AI86" s="10"/>
      <c r="AJ86" s="10"/>
      <c r="AK86" s="10"/>
      <c r="AL86" s="10"/>
      <c r="AM86" s="10"/>
      <c r="AN86" s="10"/>
      <c r="AO86" s="10"/>
      <c r="AP86" s="10"/>
      <c r="AQ86" s="32"/>
      <c r="AS86" s="10"/>
      <c r="AT86" s="10"/>
      <c r="AU86" s="10"/>
      <c r="AV86" s="10"/>
      <c r="AX86" s="32"/>
    </row>
    <row r="87" spans="7:50" x14ac:dyDescent="0.6">
      <c r="G87" s="18"/>
      <c r="H87" s="18"/>
      <c r="I87" s="18"/>
      <c r="J87" s="18"/>
      <c r="K87" s="18"/>
      <c r="L87" s="18"/>
      <c r="M87" s="18"/>
      <c r="N87" s="18"/>
      <c r="O87" s="18"/>
      <c r="P87" s="27"/>
      <c r="Q87" s="28"/>
      <c r="R87" s="28"/>
      <c r="S87" s="18"/>
      <c r="T87" s="29"/>
      <c r="U87" s="29"/>
      <c r="V87" s="18"/>
      <c r="W87" s="18"/>
      <c r="Y87" s="10"/>
      <c r="Z87" s="30"/>
      <c r="AA87" s="30"/>
      <c r="AB87" s="30"/>
      <c r="AC87" s="31"/>
      <c r="AD87" s="31"/>
      <c r="AE87" s="31"/>
      <c r="AF87" s="31"/>
      <c r="AG87" s="32"/>
      <c r="AI87" s="10"/>
      <c r="AJ87" s="10"/>
      <c r="AK87" s="10"/>
      <c r="AL87" s="10"/>
      <c r="AM87" s="10"/>
      <c r="AN87" s="10"/>
      <c r="AO87" s="10"/>
      <c r="AP87" s="10"/>
      <c r="AQ87" s="32"/>
      <c r="AS87" s="10"/>
      <c r="AT87" s="10"/>
      <c r="AU87" s="10"/>
      <c r="AV87" s="10"/>
      <c r="AX87" s="32"/>
    </row>
    <row r="88" spans="7:50" x14ac:dyDescent="0.6">
      <c r="G88" s="18"/>
      <c r="H88" s="18"/>
      <c r="I88" s="18"/>
      <c r="J88" s="18"/>
      <c r="K88" s="18"/>
      <c r="L88" s="18"/>
      <c r="M88" s="18"/>
      <c r="N88" s="18"/>
      <c r="O88" s="18"/>
      <c r="P88" s="27"/>
      <c r="Q88" s="28"/>
      <c r="R88" s="28"/>
      <c r="S88" s="18"/>
      <c r="T88" s="29"/>
      <c r="U88" s="29"/>
      <c r="V88" s="18"/>
      <c r="W88" s="18"/>
      <c r="Y88" s="10"/>
      <c r="Z88" s="30"/>
      <c r="AA88" s="30"/>
      <c r="AB88" s="30"/>
      <c r="AC88" s="31"/>
      <c r="AD88" s="31"/>
      <c r="AE88" s="31"/>
      <c r="AF88" s="31"/>
      <c r="AG88" s="32"/>
      <c r="AI88" s="10"/>
      <c r="AJ88" s="10"/>
      <c r="AK88" s="10"/>
      <c r="AL88" s="10"/>
      <c r="AM88" s="10"/>
      <c r="AN88" s="10"/>
      <c r="AO88" s="10"/>
      <c r="AP88" s="10"/>
      <c r="AQ88" s="32"/>
      <c r="AS88" s="10"/>
      <c r="AT88" s="10"/>
      <c r="AU88" s="10"/>
      <c r="AV88" s="10"/>
      <c r="AX88" s="32"/>
    </row>
    <row r="89" spans="7:50" x14ac:dyDescent="0.6">
      <c r="G89" s="18"/>
      <c r="H89" s="18"/>
      <c r="I89" s="18"/>
      <c r="J89" s="18"/>
      <c r="K89" s="18"/>
      <c r="L89" s="18"/>
      <c r="M89" s="18"/>
      <c r="N89" s="18"/>
      <c r="O89" s="18"/>
      <c r="P89" s="27"/>
      <c r="Q89" s="28"/>
      <c r="R89" s="28"/>
      <c r="S89" s="18"/>
      <c r="T89" s="29"/>
      <c r="U89" s="29"/>
      <c r="V89" s="18"/>
      <c r="W89" s="18"/>
      <c r="Y89" s="10"/>
      <c r="Z89" s="30"/>
      <c r="AA89" s="30"/>
      <c r="AB89" s="30"/>
      <c r="AC89" s="31"/>
      <c r="AD89" s="31"/>
      <c r="AE89" s="31"/>
      <c r="AF89" s="31"/>
      <c r="AG89" s="32"/>
      <c r="AI89" s="10"/>
      <c r="AJ89" s="10"/>
      <c r="AK89" s="10"/>
      <c r="AL89" s="10"/>
      <c r="AM89" s="10"/>
      <c r="AN89" s="10"/>
      <c r="AO89" s="10"/>
      <c r="AP89" s="10"/>
      <c r="AQ89" s="32"/>
      <c r="AS89" s="10"/>
      <c r="AT89" s="10"/>
      <c r="AU89" s="10"/>
      <c r="AV89" s="10"/>
      <c r="AX89" s="32"/>
    </row>
    <row r="90" spans="7:50" x14ac:dyDescent="0.6">
      <c r="G90" s="18"/>
      <c r="H90" s="18"/>
      <c r="I90" s="18"/>
      <c r="J90" s="18"/>
      <c r="K90" s="18"/>
      <c r="L90" s="18"/>
      <c r="M90" s="18"/>
      <c r="N90" s="18"/>
      <c r="O90" s="18"/>
      <c r="P90" s="27"/>
      <c r="Q90" s="28"/>
      <c r="R90" s="28"/>
      <c r="S90" s="18"/>
      <c r="T90" s="29"/>
      <c r="U90" s="29"/>
      <c r="V90" s="18"/>
      <c r="W90" s="18"/>
      <c r="Y90" s="10"/>
      <c r="Z90" s="30"/>
      <c r="AA90" s="30"/>
      <c r="AB90" s="30"/>
      <c r="AC90" s="31"/>
      <c r="AD90" s="31"/>
      <c r="AE90" s="31"/>
      <c r="AF90" s="31"/>
      <c r="AG90" s="32"/>
      <c r="AI90" s="10"/>
      <c r="AJ90" s="10"/>
      <c r="AK90" s="10"/>
      <c r="AL90" s="10"/>
      <c r="AM90" s="10"/>
      <c r="AN90" s="10"/>
      <c r="AO90" s="10"/>
      <c r="AP90" s="10"/>
      <c r="AQ90" s="32"/>
      <c r="AS90" s="10"/>
      <c r="AT90" s="10"/>
      <c r="AU90" s="10"/>
      <c r="AV90" s="10"/>
      <c r="AX90" s="32"/>
    </row>
    <row r="91" spans="7:50" x14ac:dyDescent="0.6">
      <c r="G91" s="18"/>
      <c r="H91" s="18"/>
      <c r="I91" s="18"/>
      <c r="J91" s="18"/>
      <c r="K91" s="18"/>
      <c r="L91" s="18"/>
      <c r="M91" s="18"/>
      <c r="N91" s="18"/>
      <c r="O91" s="18"/>
      <c r="P91" s="27"/>
      <c r="Q91" s="28"/>
      <c r="R91" s="28"/>
      <c r="S91" s="18"/>
      <c r="T91" s="29"/>
      <c r="U91" s="29"/>
      <c r="V91" s="18"/>
      <c r="W91" s="18"/>
      <c r="Y91" s="10"/>
      <c r="Z91" s="30"/>
      <c r="AA91" s="30"/>
      <c r="AB91" s="30"/>
      <c r="AC91" s="31"/>
      <c r="AD91" s="31"/>
      <c r="AE91" s="31"/>
      <c r="AF91" s="31"/>
      <c r="AG91" s="32"/>
      <c r="AI91" s="10"/>
      <c r="AJ91" s="10"/>
      <c r="AK91" s="10"/>
      <c r="AL91" s="10"/>
      <c r="AM91" s="10"/>
      <c r="AN91" s="10"/>
      <c r="AO91" s="10"/>
      <c r="AP91" s="10"/>
      <c r="AQ91" s="32"/>
      <c r="AS91" s="10"/>
      <c r="AT91" s="10"/>
      <c r="AU91" s="10"/>
      <c r="AV91" s="10"/>
      <c r="AX91" s="32"/>
    </row>
    <row r="92" spans="7:50" x14ac:dyDescent="0.6">
      <c r="G92" s="18"/>
      <c r="H92" s="18"/>
      <c r="I92" s="18"/>
      <c r="J92" s="18"/>
      <c r="K92" s="18"/>
      <c r="L92" s="18"/>
      <c r="M92" s="18"/>
      <c r="N92" s="18"/>
      <c r="O92" s="18"/>
      <c r="P92" s="27"/>
      <c r="Q92" s="28"/>
      <c r="R92" s="28"/>
      <c r="S92" s="18"/>
      <c r="T92" s="29"/>
      <c r="U92" s="29"/>
      <c r="V92" s="18"/>
      <c r="W92" s="18"/>
      <c r="Y92" s="10"/>
      <c r="Z92" s="30"/>
      <c r="AA92" s="30"/>
      <c r="AB92" s="30"/>
      <c r="AC92" s="31"/>
      <c r="AD92" s="31"/>
      <c r="AE92" s="31"/>
      <c r="AF92" s="31"/>
      <c r="AG92" s="32"/>
      <c r="AI92" s="10"/>
      <c r="AJ92" s="10"/>
      <c r="AK92" s="10"/>
      <c r="AL92" s="10"/>
      <c r="AM92" s="10"/>
      <c r="AN92" s="10"/>
      <c r="AO92" s="10"/>
      <c r="AP92" s="10"/>
      <c r="AQ92" s="32"/>
      <c r="AS92" s="10"/>
      <c r="AT92" s="10"/>
      <c r="AU92" s="10"/>
      <c r="AV92" s="10"/>
      <c r="AX92" s="32"/>
    </row>
    <row r="93" spans="7:50" x14ac:dyDescent="0.6">
      <c r="G93" s="18"/>
      <c r="H93" s="18"/>
      <c r="I93" s="18"/>
      <c r="J93" s="18"/>
      <c r="K93" s="18"/>
      <c r="L93" s="18"/>
      <c r="M93" s="18"/>
      <c r="N93" s="18"/>
      <c r="O93" s="18"/>
      <c r="P93" s="27"/>
      <c r="Q93" s="28"/>
      <c r="R93" s="28"/>
      <c r="S93" s="18"/>
      <c r="T93" s="29"/>
      <c r="U93" s="29"/>
      <c r="V93" s="18"/>
      <c r="W93" s="18"/>
      <c r="Y93" s="10"/>
      <c r="Z93" s="30"/>
      <c r="AA93" s="30"/>
      <c r="AB93" s="30"/>
      <c r="AC93" s="31"/>
      <c r="AD93" s="31"/>
      <c r="AE93" s="31"/>
      <c r="AF93" s="31"/>
      <c r="AG93" s="32"/>
      <c r="AI93" s="10"/>
      <c r="AJ93" s="10"/>
      <c r="AK93" s="10"/>
      <c r="AL93" s="10"/>
      <c r="AM93" s="10"/>
      <c r="AN93" s="10"/>
      <c r="AO93" s="10"/>
      <c r="AP93" s="10"/>
      <c r="AQ93" s="32"/>
      <c r="AS93" s="10"/>
      <c r="AT93" s="10"/>
      <c r="AU93" s="10"/>
      <c r="AV93" s="10"/>
      <c r="AX93" s="32"/>
    </row>
    <row r="94" spans="7:50" x14ac:dyDescent="0.6">
      <c r="G94" s="18"/>
      <c r="H94" s="18"/>
      <c r="I94" s="18"/>
      <c r="J94" s="18"/>
      <c r="K94" s="18"/>
      <c r="L94" s="18"/>
      <c r="M94" s="18"/>
      <c r="N94" s="18"/>
      <c r="O94" s="18"/>
      <c r="P94" s="27"/>
      <c r="Q94" s="28"/>
      <c r="R94" s="28"/>
      <c r="S94" s="18"/>
      <c r="T94" s="29"/>
      <c r="U94" s="29"/>
      <c r="V94" s="18"/>
      <c r="W94" s="18"/>
      <c r="Y94" s="10"/>
      <c r="Z94" s="30"/>
      <c r="AA94" s="30"/>
      <c r="AB94" s="30"/>
      <c r="AC94" s="31"/>
      <c r="AD94" s="31"/>
      <c r="AE94" s="31"/>
      <c r="AF94" s="31"/>
      <c r="AG94" s="32"/>
      <c r="AI94" s="10"/>
      <c r="AJ94" s="10"/>
      <c r="AK94" s="10"/>
      <c r="AL94" s="10"/>
      <c r="AM94" s="10"/>
      <c r="AN94" s="10"/>
      <c r="AO94" s="10"/>
      <c r="AP94" s="10"/>
      <c r="AQ94" s="32"/>
      <c r="AS94" s="10"/>
      <c r="AT94" s="10"/>
      <c r="AU94" s="10"/>
      <c r="AV94" s="10"/>
      <c r="AX94" s="32"/>
    </row>
    <row r="95" spans="7:50" x14ac:dyDescent="0.6">
      <c r="G95" s="18"/>
      <c r="H95" s="18"/>
      <c r="I95" s="18"/>
      <c r="J95" s="18"/>
      <c r="K95" s="18"/>
      <c r="L95" s="18"/>
      <c r="M95" s="18"/>
      <c r="N95" s="18"/>
      <c r="O95" s="18"/>
      <c r="P95" s="27"/>
      <c r="Q95" s="28"/>
      <c r="R95" s="28"/>
      <c r="S95" s="18"/>
      <c r="T95" s="29"/>
      <c r="U95" s="29"/>
      <c r="V95" s="18"/>
      <c r="W95" s="18"/>
      <c r="Y95" s="10"/>
      <c r="Z95" s="30"/>
      <c r="AA95" s="30"/>
      <c r="AB95" s="30"/>
      <c r="AC95" s="31"/>
      <c r="AD95" s="31"/>
      <c r="AE95" s="31"/>
      <c r="AF95" s="31"/>
      <c r="AG95" s="32"/>
      <c r="AI95" s="10"/>
      <c r="AJ95" s="10"/>
      <c r="AK95" s="10"/>
      <c r="AL95" s="10"/>
      <c r="AM95" s="10"/>
      <c r="AN95" s="10"/>
      <c r="AO95" s="10"/>
      <c r="AP95" s="10"/>
      <c r="AQ95" s="32"/>
      <c r="AS95" s="10"/>
      <c r="AT95" s="10"/>
      <c r="AU95" s="10"/>
      <c r="AV95" s="10"/>
      <c r="AX95" s="32"/>
    </row>
    <row r="96" spans="7:50" x14ac:dyDescent="0.6">
      <c r="G96" s="18"/>
      <c r="H96" s="18"/>
      <c r="I96" s="18"/>
      <c r="J96" s="18"/>
      <c r="K96" s="18"/>
      <c r="L96" s="18"/>
      <c r="M96" s="18"/>
      <c r="N96" s="18"/>
      <c r="O96" s="18"/>
      <c r="P96" s="27"/>
      <c r="Q96" s="28"/>
      <c r="R96" s="28"/>
      <c r="S96" s="18"/>
      <c r="T96" s="29"/>
      <c r="U96" s="29"/>
      <c r="V96" s="18"/>
      <c r="W96" s="18"/>
      <c r="Y96" s="10"/>
      <c r="Z96" s="30"/>
      <c r="AA96" s="30"/>
      <c r="AB96" s="30"/>
      <c r="AC96" s="31"/>
      <c r="AD96" s="31"/>
      <c r="AE96" s="31"/>
      <c r="AF96" s="31"/>
      <c r="AG96" s="32"/>
      <c r="AI96" s="10"/>
      <c r="AJ96" s="10"/>
      <c r="AK96" s="10"/>
      <c r="AL96" s="10"/>
      <c r="AM96" s="10"/>
      <c r="AN96" s="10"/>
      <c r="AO96" s="10"/>
      <c r="AP96" s="10"/>
      <c r="AQ96" s="32"/>
      <c r="AS96" s="10"/>
      <c r="AT96" s="10"/>
      <c r="AU96" s="10"/>
      <c r="AV96" s="10"/>
      <c r="AX96" s="32"/>
    </row>
    <row r="97" spans="7:50" x14ac:dyDescent="0.6">
      <c r="G97" s="18"/>
      <c r="H97" s="18"/>
      <c r="I97" s="18"/>
      <c r="J97" s="18"/>
      <c r="K97" s="18"/>
      <c r="L97" s="18"/>
      <c r="M97" s="18"/>
      <c r="N97" s="18"/>
      <c r="O97" s="18"/>
      <c r="P97" s="27"/>
      <c r="Q97" s="28"/>
      <c r="R97" s="28"/>
      <c r="S97" s="18"/>
      <c r="T97" s="29"/>
      <c r="U97" s="29"/>
      <c r="V97" s="18"/>
      <c r="W97" s="18"/>
      <c r="Y97" s="10"/>
      <c r="Z97" s="30"/>
      <c r="AA97" s="30"/>
      <c r="AB97" s="30"/>
      <c r="AC97" s="31"/>
      <c r="AD97" s="31"/>
      <c r="AE97" s="31"/>
      <c r="AF97" s="31"/>
      <c r="AG97" s="32"/>
      <c r="AI97" s="10"/>
      <c r="AJ97" s="10"/>
      <c r="AK97" s="10"/>
      <c r="AL97" s="10"/>
      <c r="AM97" s="10"/>
      <c r="AN97" s="10"/>
      <c r="AO97" s="10"/>
      <c r="AP97" s="10"/>
      <c r="AQ97" s="32"/>
      <c r="AS97" s="10"/>
      <c r="AT97" s="10"/>
      <c r="AU97" s="10"/>
      <c r="AV97" s="10"/>
      <c r="AX97" s="32"/>
    </row>
    <row r="98" spans="7:50" x14ac:dyDescent="0.6">
      <c r="G98" s="18"/>
      <c r="H98" s="18"/>
      <c r="I98" s="18"/>
      <c r="J98" s="18"/>
      <c r="K98" s="18"/>
      <c r="L98" s="18"/>
      <c r="M98" s="18"/>
      <c r="N98" s="18"/>
      <c r="O98" s="18"/>
      <c r="P98" s="27"/>
      <c r="Q98" s="28"/>
      <c r="R98" s="28"/>
      <c r="S98" s="18"/>
      <c r="T98" s="29"/>
      <c r="U98" s="29"/>
      <c r="V98" s="18"/>
      <c r="W98" s="18"/>
      <c r="Y98" s="10"/>
      <c r="Z98" s="30"/>
      <c r="AA98" s="30"/>
      <c r="AB98" s="30"/>
      <c r="AC98" s="31"/>
      <c r="AD98" s="31"/>
      <c r="AE98" s="31"/>
      <c r="AF98" s="31"/>
      <c r="AG98" s="32"/>
      <c r="AI98" s="10"/>
      <c r="AJ98" s="10"/>
      <c r="AK98" s="10"/>
      <c r="AL98" s="10"/>
      <c r="AM98" s="10"/>
      <c r="AN98" s="10"/>
      <c r="AO98" s="10"/>
      <c r="AP98" s="10"/>
      <c r="AQ98" s="32"/>
      <c r="AS98" s="10"/>
      <c r="AT98" s="10"/>
      <c r="AU98" s="10"/>
      <c r="AV98" s="10"/>
      <c r="AX98" s="32"/>
    </row>
    <row r="99" spans="7:50" x14ac:dyDescent="0.6">
      <c r="G99" s="18"/>
      <c r="H99" s="18"/>
      <c r="I99" s="18"/>
      <c r="J99" s="18"/>
      <c r="K99" s="18"/>
      <c r="L99" s="18"/>
      <c r="M99" s="18"/>
      <c r="N99" s="18"/>
      <c r="O99" s="18"/>
      <c r="P99" s="27"/>
      <c r="Q99" s="28"/>
      <c r="R99" s="28"/>
      <c r="S99" s="18"/>
      <c r="T99" s="29"/>
      <c r="U99" s="29"/>
      <c r="V99" s="18"/>
      <c r="W99" s="18"/>
      <c r="Y99" s="10"/>
      <c r="Z99" s="30"/>
      <c r="AA99" s="30"/>
      <c r="AB99" s="30"/>
      <c r="AC99" s="31"/>
      <c r="AD99" s="31"/>
      <c r="AE99" s="31"/>
      <c r="AF99" s="31"/>
      <c r="AG99" s="32"/>
      <c r="AI99" s="10"/>
      <c r="AJ99" s="10"/>
      <c r="AK99" s="10"/>
      <c r="AL99" s="10"/>
      <c r="AM99" s="10"/>
      <c r="AN99" s="10"/>
      <c r="AO99" s="10"/>
      <c r="AP99" s="10"/>
      <c r="AQ99" s="32"/>
      <c r="AS99" s="10"/>
      <c r="AT99" s="10"/>
      <c r="AU99" s="10"/>
      <c r="AV99" s="10"/>
      <c r="AX99" s="32"/>
    </row>
    <row r="100" spans="7:50" x14ac:dyDescent="0.6">
      <c r="G100" s="18"/>
      <c r="H100" s="18"/>
      <c r="I100" s="18"/>
      <c r="J100" s="18"/>
      <c r="K100" s="18"/>
      <c r="L100" s="18"/>
      <c r="M100" s="18"/>
      <c r="N100" s="18"/>
      <c r="O100" s="18"/>
      <c r="P100" s="27"/>
      <c r="Q100" s="28"/>
      <c r="R100" s="28"/>
      <c r="S100" s="18"/>
      <c r="T100" s="29"/>
      <c r="U100" s="29"/>
      <c r="V100" s="18"/>
      <c r="W100" s="18"/>
      <c r="Y100" s="10"/>
      <c r="Z100" s="30"/>
      <c r="AA100" s="30"/>
      <c r="AB100" s="30"/>
      <c r="AC100" s="31"/>
      <c r="AD100" s="31"/>
      <c r="AE100" s="31"/>
      <c r="AF100" s="31"/>
      <c r="AG100" s="32"/>
      <c r="AI100" s="10"/>
      <c r="AJ100" s="10"/>
      <c r="AK100" s="10"/>
      <c r="AL100" s="10"/>
      <c r="AM100" s="10"/>
      <c r="AN100" s="10"/>
      <c r="AO100" s="10"/>
      <c r="AP100" s="10"/>
      <c r="AQ100" s="32"/>
      <c r="AS100" s="10"/>
      <c r="AT100" s="10"/>
      <c r="AU100" s="10"/>
      <c r="AV100" s="10"/>
      <c r="AX100" s="32"/>
    </row>
    <row r="101" spans="7:50" x14ac:dyDescent="0.6">
      <c r="G101" s="18"/>
      <c r="H101" s="18"/>
      <c r="I101" s="18"/>
      <c r="J101" s="18"/>
      <c r="K101" s="18"/>
      <c r="L101" s="18"/>
      <c r="M101" s="18"/>
      <c r="N101" s="18"/>
      <c r="O101" s="18"/>
      <c r="P101" s="27"/>
      <c r="Q101" s="28"/>
      <c r="R101" s="28"/>
      <c r="S101" s="18"/>
      <c r="T101" s="29"/>
      <c r="U101" s="29"/>
      <c r="V101" s="18"/>
      <c r="W101" s="18"/>
      <c r="Y101" s="10"/>
      <c r="Z101" s="30"/>
      <c r="AA101" s="30"/>
      <c r="AB101" s="30"/>
      <c r="AC101" s="31"/>
      <c r="AD101" s="31"/>
      <c r="AE101" s="31"/>
      <c r="AF101" s="31"/>
      <c r="AG101" s="32"/>
      <c r="AI101" s="10"/>
      <c r="AJ101" s="10"/>
      <c r="AK101" s="10"/>
      <c r="AL101" s="10"/>
      <c r="AM101" s="10"/>
      <c r="AN101" s="10"/>
      <c r="AO101" s="10"/>
      <c r="AP101" s="10"/>
      <c r="AQ101" s="32"/>
      <c r="AS101" s="10"/>
      <c r="AT101" s="10"/>
      <c r="AU101" s="10"/>
      <c r="AV101" s="10"/>
      <c r="AX101" s="32"/>
    </row>
    <row r="102" spans="7:50" x14ac:dyDescent="0.6">
      <c r="G102" s="18"/>
      <c r="H102" s="18"/>
      <c r="I102" s="18"/>
      <c r="J102" s="18"/>
      <c r="K102" s="18"/>
      <c r="L102" s="18"/>
      <c r="M102" s="18"/>
      <c r="N102" s="18"/>
      <c r="O102" s="18"/>
      <c r="P102" s="27"/>
      <c r="Q102" s="28"/>
      <c r="R102" s="28"/>
      <c r="S102" s="18"/>
      <c r="T102" s="29"/>
      <c r="U102" s="29"/>
      <c r="V102" s="18"/>
      <c r="W102" s="18"/>
      <c r="Y102" s="10"/>
      <c r="Z102" s="30"/>
      <c r="AA102" s="30"/>
      <c r="AB102" s="30"/>
      <c r="AC102" s="31"/>
      <c r="AD102" s="31"/>
      <c r="AE102" s="31"/>
      <c r="AF102" s="31"/>
      <c r="AG102" s="32"/>
      <c r="AI102" s="10"/>
      <c r="AJ102" s="10"/>
      <c r="AK102" s="10"/>
      <c r="AL102" s="10"/>
      <c r="AM102" s="10"/>
      <c r="AN102" s="10"/>
      <c r="AO102" s="10"/>
      <c r="AP102" s="10"/>
      <c r="AQ102" s="32"/>
      <c r="AS102" s="10"/>
      <c r="AT102" s="10"/>
      <c r="AU102" s="10"/>
      <c r="AV102" s="10"/>
      <c r="AX102" s="32"/>
    </row>
    <row r="103" spans="7:50" x14ac:dyDescent="0.6">
      <c r="G103" s="18"/>
      <c r="H103" s="18"/>
      <c r="I103" s="18"/>
      <c r="J103" s="18"/>
      <c r="K103" s="18"/>
      <c r="L103" s="18"/>
      <c r="M103" s="18"/>
      <c r="N103" s="18"/>
      <c r="O103" s="18"/>
      <c r="P103" s="27"/>
      <c r="Q103" s="28"/>
      <c r="R103" s="28"/>
      <c r="S103" s="18"/>
      <c r="T103" s="29"/>
      <c r="U103" s="29"/>
      <c r="V103" s="18"/>
      <c r="W103" s="18"/>
      <c r="Y103" s="10"/>
      <c r="Z103" s="30"/>
      <c r="AA103" s="30"/>
      <c r="AB103" s="30"/>
      <c r="AC103" s="31"/>
      <c r="AD103" s="31"/>
      <c r="AE103" s="31"/>
      <c r="AF103" s="31"/>
      <c r="AG103" s="32"/>
      <c r="AI103" s="10"/>
      <c r="AJ103" s="10"/>
      <c r="AK103" s="10"/>
      <c r="AL103" s="10"/>
      <c r="AM103" s="10"/>
      <c r="AN103" s="10"/>
      <c r="AO103" s="10"/>
      <c r="AP103" s="10"/>
      <c r="AQ103" s="32"/>
      <c r="AS103" s="10"/>
      <c r="AT103" s="10"/>
      <c r="AU103" s="10"/>
      <c r="AV103" s="10"/>
      <c r="AX103" s="32"/>
    </row>
    <row r="104" spans="7:50" x14ac:dyDescent="0.6">
      <c r="G104" s="18"/>
      <c r="H104" s="18"/>
      <c r="I104" s="18"/>
      <c r="J104" s="18"/>
      <c r="K104" s="18"/>
      <c r="L104" s="18"/>
      <c r="M104" s="18"/>
      <c r="N104" s="18"/>
      <c r="O104" s="18"/>
      <c r="P104" s="27"/>
      <c r="Q104" s="28"/>
      <c r="R104" s="28"/>
      <c r="S104" s="18"/>
      <c r="T104" s="29"/>
      <c r="U104" s="29"/>
      <c r="V104" s="18"/>
      <c r="W104" s="18"/>
      <c r="Y104" s="10"/>
      <c r="Z104" s="30"/>
      <c r="AA104" s="30"/>
      <c r="AB104" s="30"/>
      <c r="AC104" s="31"/>
      <c r="AD104" s="31"/>
      <c r="AE104" s="31"/>
      <c r="AF104" s="31"/>
      <c r="AG104" s="32"/>
      <c r="AI104" s="10"/>
      <c r="AJ104" s="10"/>
      <c r="AK104" s="10"/>
      <c r="AL104" s="10"/>
      <c r="AM104" s="10"/>
      <c r="AN104" s="10"/>
      <c r="AO104" s="10"/>
      <c r="AP104" s="10"/>
      <c r="AQ104" s="32"/>
      <c r="AS104" s="10"/>
      <c r="AT104" s="10"/>
      <c r="AU104" s="10"/>
      <c r="AV104" s="10"/>
      <c r="AX104" s="32"/>
    </row>
    <row r="105" spans="7:50" x14ac:dyDescent="0.6">
      <c r="G105" s="18"/>
      <c r="H105" s="18"/>
      <c r="I105" s="18"/>
      <c r="J105" s="18"/>
      <c r="K105" s="18"/>
      <c r="L105" s="18"/>
      <c r="M105" s="18"/>
      <c r="N105" s="18"/>
      <c r="O105" s="18"/>
      <c r="P105" s="27"/>
      <c r="Q105" s="28"/>
      <c r="R105" s="28"/>
      <c r="S105" s="18"/>
      <c r="T105" s="29"/>
      <c r="U105" s="29"/>
      <c r="V105" s="18"/>
      <c r="W105" s="18"/>
      <c r="Y105" s="10"/>
      <c r="Z105" s="30"/>
      <c r="AA105" s="30"/>
      <c r="AB105" s="30"/>
      <c r="AC105" s="31"/>
      <c r="AD105" s="31"/>
      <c r="AE105" s="31"/>
      <c r="AF105" s="31"/>
      <c r="AG105" s="32"/>
      <c r="AI105" s="10"/>
      <c r="AJ105" s="10"/>
      <c r="AK105" s="10"/>
      <c r="AL105" s="10"/>
      <c r="AM105" s="10"/>
      <c r="AN105" s="10"/>
      <c r="AO105" s="10"/>
      <c r="AP105" s="10"/>
      <c r="AQ105" s="32"/>
      <c r="AS105" s="10"/>
      <c r="AT105" s="10"/>
      <c r="AU105" s="10"/>
      <c r="AV105" s="10"/>
      <c r="AX105" s="32"/>
    </row>
    <row r="106" spans="7:50" x14ac:dyDescent="0.6">
      <c r="G106" s="18"/>
      <c r="H106" s="18"/>
      <c r="I106" s="18"/>
      <c r="J106" s="18"/>
      <c r="K106" s="18"/>
      <c r="L106" s="18"/>
      <c r="M106" s="18"/>
      <c r="N106" s="18"/>
      <c r="O106" s="18"/>
      <c r="P106" s="27"/>
      <c r="Q106" s="28"/>
      <c r="R106" s="28"/>
      <c r="S106" s="18"/>
      <c r="T106" s="29"/>
      <c r="U106" s="29"/>
      <c r="V106" s="18"/>
      <c r="W106" s="18"/>
      <c r="Y106" s="10"/>
      <c r="Z106" s="30"/>
      <c r="AA106" s="30"/>
      <c r="AB106" s="30"/>
      <c r="AC106" s="31"/>
      <c r="AD106" s="31"/>
      <c r="AE106" s="31"/>
      <c r="AF106" s="31"/>
      <c r="AG106" s="32"/>
      <c r="AI106" s="10"/>
      <c r="AJ106" s="10"/>
      <c r="AK106" s="10"/>
      <c r="AL106" s="10"/>
      <c r="AM106" s="10"/>
      <c r="AN106" s="10"/>
      <c r="AO106" s="10"/>
      <c r="AP106" s="10"/>
      <c r="AQ106" s="32"/>
      <c r="AS106" s="10"/>
      <c r="AT106" s="10"/>
      <c r="AU106" s="10"/>
      <c r="AV106" s="10"/>
      <c r="AX106" s="32"/>
    </row>
    <row r="107" spans="7:50" x14ac:dyDescent="0.6">
      <c r="G107" s="18"/>
      <c r="H107" s="18"/>
      <c r="I107" s="18"/>
      <c r="J107" s="18"/>
      <c r="K107" s="18"/>
      <c r="L107" s="18"/>
      <c r="M107" s="18"/>
      <c r="N107" s="18"/>
      <c r="O107" s="18"/>
      <c r="P107" s="27"/>
      <c r="Q107" s="28"/>
      <c r="R107" s="28"/>
      <c r="S107" s="18"/>
      <c r="T107" s="29"/>
      <c r="U107" s="29"/>
      <c r="V107" s="18"/>
      <c r="W107" s="18"/>
      <c r="Y107" s="10"/>
      <c r="Z107" s="30"/>
      <c r="AA107" s="30"/>
      <c r="AB107" s="30"/>
      <c r="AC107" s="31"/>
      <c r="AD107" s="31"/>
      <c r="AE107" s="31"/>
      <c r="AF107" s="31"/>
      <c r="AG107" s="32"/>
      <c r="AI107" s="10"/>
      <c r="AJ107" s="10"/>
      <c r="AK107" s="10"/>
      <c r="AL107" s="10"/>
      <c r="AM107" s="10"/>
      <c r="AN107" s="10"/>
      <c r="AO107" s="10"/>
      <c r="AP107" s="10"/>
      <c r="AQ107" s="32"/>
      <c r="AS107" s="10"/>
      <c r="AT107" s="10"/>
      <c r="AU107" s="10"/>
      <c r="AV107" s="10"/>
      <c r="AX107" s="32"/>
    </row>
    <row r="108" spans="7:50" x14ac:dyDescent="0.6">
      <c r="G108" s="18"/>
      <c r="H108" s="18"/>
      <c r="I108" s="18"/>
      <c r="J108" s="18"/>
      <c r="K108" s="18"/>
      <c r="L108" s="18"/>
      <c r="M108" s="18"/>
      <c r="N108" s="18"/>
      <c r="O108" s="18"/>
      <c r="P108" s="27"/>
      <c r="Q108" s="28"/>
      <c r="R108" s="28"/>
      <c r="S108" s="18"/>
      <c r="T108" s="29"/>
      <c r="U108" s="29"/>
      <c r="V108" s="18"/>
      <c r="W108" s="18"/>
      <c r="Y108" s="10"/>
      <c r="Z108" s="30"/>
      <c r="AA108" s="30"/>
      <c r="AB108" s="30"/>
      <c r="AC108" s="31"/>
      <c r="AD108" s="31"/>
      <c r="AE108" s="31"/>
      <c r="AF108" s="31"/>
      <c r="AG108" s="32"/>
      <c r="AI108" s="10"/>
      <c r="AJ108" s="10"/>
      <c r="AK108" s="10"/>
      <c r="AL108" s="10"/>
      <c r="AM108" s="10"/>
      <c r="AN108" s="10"/>
      <c r="AO108" s="10"/>
      <c r="AP108" s="10"/>
      <c r="AQ108" s="32"/>
      <c r="AS108" s="10"/>
      <c r="AT108" s="10"/>
      <c r="AU108" s="10"/>
      <c r="AV108" s="10"/>
      <c r="AX108" s="32"/>
    </row>
    <row r="109" spans="7:50" x14ac:dyDescent="0.6">
      <c r="G109" s="18"/>
      <c r="H109" s="18"/>
      <c r="I109" s="18"/>
      <c r="J109" s="18"/>
      <c r="K109" s="18"/>
      <c r="L109" s="18"/>
      <c r="M109" s="18"/>
      <c r="N109" s="18"/>
      <c r="O109" s="18"/>
      <c r="P109" s="27"/>
      <c r="Q109" s="28"/>
      <c r="R109" s="28"/>
      <c r="S109" s="18"/>
      <c r="T109" s="29"/>
      <c r="U109" s="29"/>
      <c r="V109" s="18"/>
      <c r="W109" s="18"/>
      <c r="Y109" s="10"/>
      <c r="Z109" s="30"/>
      <c r="AA109" s="30"/>
      <c r="AB109" s="30"/>
      <c r="AC109" s="31"/>
      <c r="AD109" s="31"/>
      <c r="AE109" s="31"/>
      <c r="AF109" s="31"/>
      <c r="AG109" s="32"/>
      <c r="AI109" s="10"/>
      <c r="AJ109" s="10"/>
      <c r="AK109" s="10"/>
      <c r="AL109" s="10"/>
      <c r="AM109" s="10"/>
      <c r="AN109" s="10"/>
      <c r="AO109" s="10"/>
      <c r="AP109" s="10"/>
      <c r="AQ109" s="32"/>
      <c r="AS109" s="10"/>
      <c r="AT109" s="10"/>
      <c r="AU109" s="10"/>
      <c r="AV109" s="10"/>
      <c r="AX109" s="32"/>
    </row>
    <row r="110" spans="7:50" x14ac:dyDescent="0.6">
      <c r="G110" s="18"/>
      <c r="H110" s="18"/>
      <c r="I110" s="18"/>
      <c r="J110" s="18"/>
      <c r="K110" s="18"/>
      <c r="L110" s="18"/>
      <c r="M110" s="18"/>
      <c r="N110" s="18"/>
      <c r="O110" s="18"/>
      <c r="P110" s="27"/>
      <c r="Q110" s="28"/>
      <c r="R110" s="28"/>
      <c r="S110" s="18"/>
      <c r="T110" s="29"/>
      <c r="U110" s="29"/>
      <c r="V110" s="18"/>
      <c r="W110" s="18"/>
      <c r="Y110" s="10"/>
      <c r="Z110" s="30"/>
      <c r="AA110" s="30"/>
      <c r="AB110" s="30"/>
      <c r="AC110" s="31"/>
      <c r="AD110" s="31"/>
      <c r="AE110" s="31"/>
      <c r="AF110" s="31"/>
      <c r="AG110" s="32"/>
      <c r="AI110" s="10"/>
      <c r="AJ110" s="10"/>
      <c r="AK110" s="10"/>
      <c r="AL110" s="10"/>
      <c r="AM110" s="10"/>
      <c r="AN110" s="10"/>
      <c r="AO110" s="10"/>
      <c r="AP110" s="10"/>
      <c r="AQ110" s="32"/>
      <c r="AS110" s="10"/>
      <c r="AT110" s="10"/>
      <c r="AU110" s="10"/>
      <c r="AV110" s="10"/>
      <c r="AX110" s="32"/>
    </row>
    <row r="111" spans="7:50" x14ac:dyDescent="0.6">
      <c r="G111" s="18"/>
      <c r="H111" s="18"/>
      <c r="I111" s="18"/>
      <c r="J111" s="18"/>
      <c r="K111" s="18"/>
      <c r="L111" s="18"/>
      <c r="M111" s="18"/>
      <c r="N111" s="18"/>
      <c r="O111" s="18"/>
      <c r="P111" s="27"/>
      <c r="Q111" s="28"/>
      <c r="R111" s="28"/>
      <c r="S111" s="18"/>
      <c r="T111" s="29"/>
      <c r="U111" s="29"/>
      <c r="V111" s="18"/>
      <c r="W111" s="18"/>
      <c r="Y111" s="10"/>
      <c r="Z111" s="30"/>
      <c r="AA111" s="30"/>
      <c r="AB111" s="30"/>
      <c r="AC111" s="31"/>
      <c r="AD111" s="31"/>
      <c r="AE111" s="31"/>
      <c r="AF111" s="31"/>
      <c r="AG111" s="32"/>
      <c r="AI111" s="10"/>
      <c r="AJ111" s="10"/>
      <c r="AK111" s="10"/>
      <c r="AL111" s="10"/>
      <c r="AM111" s="10"/>
      <c r="AN111" s="10"/>
      <c r="AO111" s="10"/>
      <c r="AP111" s="10"/>
      <c r="AQ111" s="32"/>
      <c r="AS111" s="10"/>
      <c r="AT111" s="10"/>
      <c r="AU111" s="10"/>
      <c r="AV111" s="10"/>
      <c r="AX111" s="32"/>
    </row>
    <row r="112" spans="7:50" x14ac:dyDescent="0.6">
      <c r="G112" s="18"/>
      <c r="H112" s="18"/>
      <c r="I112" s="18"/>
      <c r="J112" s="18"/>
      <c r="K112" s="18"/>
      <c r="L112" s="18"/>
      <c r="M112" s="18"/>
      <c r="N112" s="18"/>
      <c r="O112" s="18"/>
      <c r="P112" s="27"/>
      <c r="Q112" s="28"/>
      <c r="R112" s="28"/>
      <c r="S112" s="18"/>
      <c r="T112" s="29"/>
      <c r="U112" s="29"/>
      <c r="V112" s="18"/>
      <c r="W112" s="18"/>
      <c r="Y112" s="10"/>
      <c r="Z112" s="30"/>
      <c r="AA112" s="30"/>
      <c r="AB112" s="30"/>
      <c r="AC112" s="31"/>
      <c r="AD112" s="31"/>
      <c r="AE112" s="31"/>
      <c r="AF112" s="31"/>
      <c r="AG112" s="32"/>
      <c r="AI112" s="10"/>
      <c r="AJ112" s="10"/>
      <c r="AK112" s="10"/>
      <c r="AL112" s="10"/>
      <c r="AM112" s="10"/>
      <c r="AN112" s="10"/>
      <c r="AO112" s="10"/>
      <c r="AP112" s="10"/>
      <c r="AQ112" s="32"/>
      <c r="AS112" s="10"/>
      <c r="AT112" s="10"/>
      <c r="AU112" s="10"/>
      <c r="AV112" s="10"/>
      <c r="AX112" s="32"/>
    </row>
    <row r="113" spans="7:50" x14ac:dyDescent="0.6">
      <c r="G113" s="18"/>
      <c r="H113" s="18"/>
      <c r="I113" s="18"/>
      <c r="J113" s="18"/>
      <c r="K113" s="18"/>
      <c r="L113" s="18"/>
      <c r="M113" s="18"/>
      <c r="N113" s="18"/>
      <c r="O113" s="18"/>
      <c r="P113" s="27"/>
      <c r="Q113" s="28"/>
      <c r="R113" s="28"/>
      <c r="S113" s="18"/>
      <c r="T113" s="29"/>
      <c r="U113" s="29"/>
      <c r="V113" s="18"/>
      <c r="W113" s="18"/>
      <c r="Y113" s="10"/>
      <c r="Z113" s="30"/>
      <c r="AA113" s="30"/>
      <c r="AB113" s="30"/>
      <c r="AC113" s="31"/>
      <c r="AD113" s="31"/>
      <c r="AE113" s="31"/>
      <c r="AF113" s="31"/>
      <c r="AG113" s="32"/>
      <c r="AI113" s="10"/>
      <c r="AJ113" s="10"/>
      <c r="AK113" s="10"/>
      <c r="AL113" s="10"/>
      <c r="AM113" s="10"/>
      <c r="AN113" s="10"/>
      <c r="AO113" s="10"/>
      <c r="AP113" s="10"/>
      <c r="AQ113" s="32"/>
      <c r="AS113" s="10"/>
      <c r="AT113" s="10"/>
      <c r="AU113" s="10"/>
      <c r="AV113" s="10"/>
      <c r="AX113" s="32"/>
    </row>
    <row r="114" spans="7:50" x14ac:dyDescent="0.6">
      <c r="G114" s="18"/>
      <c r="H114" s="18"/>
      <c r="I114" s="18"/>
      <c r="J114" s="18"/>
      <c r="K114" s="18"/>
      <c r="L114" s="18"/>
      <c r="M114" s="18"/>
      <c r="N114" s="18"/>
      <c r="O114" s="18"/>
      <c r="P114" s="27"/>
      <c r="Q114" s="28"/>
      <c r="R114" s="28"/>
      <c r="S114" s="18"/>
      <c r="T114" s="29"/>
      <c r="U114" s="29"/>
      <c r="V114" s="18"/>
      <c r="W114" s="18"/>
      <c r="Y114" s="10"/>
      <c r="Z114" s="30"/>
      <c r="AA114" s="30"/>
      <c r="AB114" s="30"/>
      <c r="AC114" s="31"/>
      <c r="AD114" s="31"/>
      <c r="AE114" s="31"/>
      <c r="AF114" s="31"/>
      <c r="AG114" s="32"/>
      <c r="AI114" s="10"/>
      <c r="AJ114" s="10"/>
      <c r="AK114" s="10"/>
      <c r="AL114" s="10"/>
      <c r="AM114" s="10"/>
      <c r="AN114" s="10"/>
      <c r="AO114" s="10"/>
      <c r="AP114" s="10"/>
      <c r="AQ114" s="32"/>
      <c r="AS114" s="10"/>
      <c r="AT114" s="10"/>
      <c r="AU114" s="10"/>
      <c r="AV114" s="10"/>
      <c r="AX114" s="32"/>
    </row>
    <row r="115" spans="7:50" x14ac:dyDescent="0.6">
      <c r="G115" s="18"/>
      <c r="H115" s="18"/>
      <c r="I115" s="18"/>
      <c r="J115" s="18"/>
      <c r="K115" s="18"/>
      <c r="L115" s="18"/>
      <c r="M115" s="18"/>
      <c r="N115" s="18"/>
      <c r="O115" s="18"/>
      <c r="P115" s="27"/>
      <c r="Q115" s="28"/>
      <c r="R115" s="28"/>
      <c r="S115" s="18"/>
      <c r="T115" s="29"/>
      <c r="U115" s="29"/>
      <c r="V115" s="18"/>
      <c r="W115" s="18"/>
      <c r="Y115" s="10"/>
      <c r="Z115" s="30"/>
      <c r="AA115" s="30"/>
      <c r="AB115" s="30"/>
      <c r="AC115" s="31"/>
      <c r="AD115" s="31"/>
      <c r="AE115" s="31"/>
      <c r="AF115" s="31"/>
      <c r="AG115" s="32"/>
      <c r="AI115" s="10"/>
      <c r="AJ115" s="10"/>
      <c r="AK115" s="10"/>
      <c r="AL115" s="10"/>
      <c r="AM115" s="10"/>
      <c r="AN115" s="10"/>
      <c r="AO115" s="10"/>
      <c r="AP115" s="10"/>
      <c r="AQ115" s="32"/>
      <c r="AS115" s="10"/>
      <c r="AT115" s="10"/>
      <c r="AU115" s="10"/>
      <c r="AV115" s="10"/>
      <c r="AX115" s="32"/>
    </row>
    <row r="116" spans="7:50" x14ac:dyDescent="0.6">
      <c r="G116" s="18"/>
      <c r="H116" s="18"/>
      <c r="I116" s="18"/>
      <c r="J116" s="18"/>
      <c r="K116" s="18"/>
      <c r="L116" s="18"/>
      <c r="M116" s="18"/>
      <c r="N116" s="18"/>
      <c r="O116" s="18"/>
      <c r="P116" s="27"/>
      <c r="Q116" s="28"/>
      <c r="R116" s="28"/>
      <c r="S116" s="18"/>
      <c r="T116" s="29"/>
      <c r="U116" s="29"/>
      <c r="V116" s="18"/>
      <c r="W116" s="18"/>
      <c r="Y116" s="10"/>
      <c r="Z116" s="30"/>
      <c r="AA116" s="30"/>
      <c r="AB116" s="30"/>
      <c r="AC116" s="31"/>
      <c r="AD116" s="31"/>
      <c r="AE116" s="31"/>
      <c r="AF116" s="31"/>
      <c r="AG116" s="32"/>
      <c r="AI116" s="10"/>
      <c r="AJ116" s="10"/>
      <c r="AK116" s="10"/>
      <c r="AL116" s="10"/>
      <c r="AM116" s="10"/>
      <c r="AN116" s="10"/>
      <c r="AO116" s="10"/>
      <c r="AP116" s="10"/>
      <c r="AQ116" s="32"/>
      <c r="AS116" s="10"/>
      <c r="AT116" s="10"/>
      <c r="AU116" s="10"/>
      <c r="AV116" s="10"/>
      <c r="AX116" s="32"/>
    </row>
    <row r="117" spans="7:50" x14ac:dyDescent="0.6">
      <c r="G117" s="18"/>
      <c r="H117" s="18"/>
      <c r="I117" s="18"/>
      <c r="J117" s="18"/>
      <c r="K117" s="18"/>
      <c r="L117" s="18"/>
      <c r="M117" s="18"/>
      <c r="N117" s="18"/>
      <c r="O117" s="18"/>
      <c r="P117" s="27"/>
      <c r="Q117" s="28"/>
      <c r="R117" s="28"/>
      <c r="S117" s="18"/>
      <c r="T117" s="29"/>
      <c r="U117" s="29"/>
      <c r="V117" s="18"/>
      <c r="W117" s="18"/>
      <c r="Y117" s="10"/>
      <c r="Z117" s="30"/>
      <c r="AA117" s="30"/>
      <c r="AB117" s="30"/>
      <c r="AC117" s="31"/>
      <c r="AD117" s="31"/>
      <c r="AE117" s="31"/>
      <c r="AF117" s="31"/>
      <c r="AG117" s="32"/>
      <c r="AI117" s="10"/>
      <c r="AJ117" s="10"/>
      <c r="AK117" s="10"/>
      <c r="AL117" s="10"/>
      <c r="AM117" s="10"/>
      <c r="AN117" s="10"/>
      <c r="AO117" s="10"/>
      <c r="AP117" s="10"/>
      <c r="AQ117" s="32"/>
      <c r="AS117" s="10"/>
      <c r="AT117" s="10"/>
      <c r="AU117" s="10"/>
      <c r="AV117" s="10"/>
      <c r="AX117" s="32"/>
    </row>
    <row r="118" spans="7:50" x14ac:dyDescent="0.6">
      <c r="G118" s="18"/>
      <c r="H118" s="18"/>
      <c r="I118" s="18"/>
      <c r="J118" s="18"/>
      <c r="K118" s="18"/>
      <c r="L118" s="18"/>
      <c r="M118" s="18"/>
      <c r="N118" s="18"/>
      <c r="O118" s="18"/>
      <c r="P118" s="27"/>
      <c r="Q118" s="28"/>
      <c r="R118" s="28"/>
      <c r="S118" s="18"/>
      <c r="T118" s="29"/>
      <c r="U118" s="29"/>
      <c r="V118" s="18"/>
      <c r="W118" s="18"/>
      <c r="Y118" s="10"/>
      <c r="Z118" s="30"/>
      <c r="AA118" s="30"/>
      <c r="AB118" s="30"/>
      <c r="AC118" s="31"/>
      <c r="AD118" s="31"/>
      <c r="AE118" s="31"/>
      <c r="AF118" s="31"/>
      <c r="AG118" s="32"/>
      <c r="AI118" s="10"/>
      <c r="AJ118" s="10"/>
      <c r="AK118" s="10"/>
      <c r="AL118" s="10"/>
      <c r="AM118" s="10"/>
      <c r="AN118" s="10"/>
      <c r="AO118" s="10"/>
      <c r="AP118" s="10"/>
      <c r="AQ118" s="32"/>
      <c r="AS118" s="10"/>
      <c r="AT118" s="10"/>
      <c r="AU118" s="10"/>
      <c r="AV118" s="10"/>
      <c r="AX118" s="32"/>
    </row>
    <row r="119" spans="7:50" x14ac:dyDescent="0.6">
      <c r="G119" s="18"/>
      <c r="H119" s="18"/>
      <c r="I119" s="18"/>
      <c r="J119" s="18"/>
      <c r="K119" s="18"/>
      <c r="L119" s="18"/>
      <c r="M119" s="18"/>
      <c r="N119" s="18"/>
      <c r="O119" s="18"/>
      <c r="P119" s="27"/>
      <c r="Q119" s="28"/>
      <c r="R119" s="28"/>
      <c r="S119" s="18"/>
      <c r="T119" s="29"/>
      <c r="U119" s="29"/>
      <c r="V119" s="18"/>
      <c r="W119" s="18"/>
      <c r="Y119" s="10"/>
      <c r="Z119" s="30"/>
      <c r="AA119" s="30"/>
      <c r="AB119" s="30"/>
      <c r="AC119" s="31"/>
      <c r="AD119" s="31"/>
      <c r="AE119" s="31"/>
      <c r="AF119" s="31"/>
      <c r="AG119" s="32"/>
      <c r="AI119" s="10"/>
      <c r="AJ119" s="10"/>
      <c r="AK119" s="10"/>
      <c r="AL119" s="10"/>
      <c r="AM119" s="10"/>
      <c r="AN119" s="10"/>
      <c r="AO119" s="10"/>
      <c r="AP119" s="10"/>
      <c r="AQ119" s="32"/>
      <c r="AS119" s="10"/>
      <c r="AT119" s="10"/>
      <c r="AU119" s="10"/>
      <c r="AV119" s="10"/>
      <c r="AX119" s="32"/>
    </row>
    <row r="120" spans="7:50" x14ac:dyDescent="0.6">
      <c r="G120" s="18"/>
      <c r="H120" s="18"/>
      <c r="I120" s="18"/>
      <c r="J120" s="18"/>
      <c r="K120" s="18"/>
      <c r="L120" s="18"/>
      <c r="M120" s="18"/>
      <c r="N120" s="18"/>
      <c r="O120" s="18"/>
      <c r="P120" s="27"/>
      <c r="Q120" s="28"/>
      <c r="R120" s="28"/>
      <c r="S120" s="18"/>
      <c r="T120" s="29"/>
      <c r="U120" s="29"/>
      <c r="V120" s="18"/>
      <c r="W120" s="18"/>
      <c r="Y120" s="10"/>
      <c r="Z120" s="30"/>
      <c r="AA120" s="30"/>
      <c r="AB120" s="30"/>
      <c r="AC120" s="31"/>
      <c r="AD120" s="31"/>
      <c r="AE120" s="31"/>
      <c r="AF120" s="31"/>
      <c r="AG120" s="32"/>
      <c r="AI120" s="10"/>
      <c r="AJ120" s="10"/>
      <c r="AK120" s="10"/>
      <c r="AL120" s="10"/>
      <c r="AM120" s="10"/>
      <c r="AN120" s="10"/>
      <c r="AO120" s="10"/>
      <c r="AP120" s="10"/>
      <c r="AQ120" s="32"/>
      <c r="AS120" s="10"/>
      <c r="AT120" s="10"/>
      <c r="AU120" s="10"/>
      <c r="AV120" s="10"/>
      <c r="AX120" s="32"/>
    </row>
    <row r="121" spans="7:50" x14ac:dyDescent="0.6">
      <c r="G121" s="18"/>
      <c r="H121" s="18"/>
      <c r="I121" s="18"/>
      <c r="J121" s="18"/>
      <c r="K121" s="18"/>
      <c r="L121" s="18"/>
      <c r="M121" s="18"/>
      <c r="N121" s="18"/>
      <c r="O121" s="18"/>
      <c r="P121" s="27"/>
      <c r="Q121" s="28"/>
      <c r="R121" s="28"/>
      <c r="S121" s="18"/>
      <c r="T121" s="29"/>
      <c r="U121" s="29"/>
      <c r="V121" s="18"/>
      <c r="W121" s="18"/>
      <c r="Y121" s="10"/>
      <c r="Z121" s="30"/>
      <c r="AA121" s="30"/>
      <c r="AB121" s="30"/>
      <c r="AC121" s="31"/>
      <c r="AD121" s="31"/>
      <c r="AE121" s="31"/>
      <c r="AF121" s="31"/>
      <c r="AG121" s="32"/>
      <c r="AI121" s="10"/>
      <c r="AJ121" s="10"/>
      <c r="AK121" s="10"/>
      <c r="AL121" s="10"/>
      <c r="AM121" s="10"/>
      <c r="AN121" s="10"/>
      <c r="AO121" s="10"/>
      <c r="AP121" s="10"/>
      <c r="AQ121" s="32"/>
      <c r="AS121" s="10"/>
      <c r="AT121" s="10"/>
      <c r="AU121" s="10"/>
      <c r="AV121" s="10"/>
      <c r="AX121" s="32"/>
    </row>
    <row r="122" spans="7:50" x14ac:dyDescent="0.6">
      <c r="G122" s="18"/>
      <c r="H122" s="18"/>
      <c r="I122" s="18"/>
      <c r="J122" s="18"/>
      <c r="K122" s="18"/>
      <c r="L122" s="18"/>
      <c r="M122" s="18"/>
      <c r="N122" s="18"/>
      <c r="O122" s="18"/>
      <c r="P122" s="27"/>
      <c r="Q122" s="28"/>
      <c r="R122" s="28"/>
      <c r="S122" s="18"/>
      <c r="T122" s="29"/>
      <c r="U122" s="29"/>
      <c r="V122" s="18"/>
      <c r="W122" s="18"/>
      <c r="Y122" s="10"/>
      <c r="Z122" s="30"/>
      <c r="AA122" s="30"/>
      <c r="AB122" s="30"/>
      <c r="AC122" s="31"/>
      <c r="AD122" s="31"/>
      <c r="AE122" s="31"/>
      <c r="AF122" s="31"/>
      <c r="AG122" s="32"/>
      <c r="AI122" s="10"/>
      <c r="AJ122" s="10"/>
      <c r="AK122" s="10"/>
      <c r="AL122" s="10"/>
      <c r="AM122" s="10"/>
      <c r="AN122" s="10"/>
      <c r="AO122" s="10"/>
      <c r="AP122" s="10"/>
      <c r="AQ122" s="32"/>
      <c r="AS122" s="10"/>
      <c r="AT122" s="10"/>
      <c r="AU122" s="10"/>
      <c r="AV122" s="10"/>
      <c r="AX122" s="32"/>
    </row>
    <row r="123" spans="7:50" x14ac:dyDescent="0.6">
      <c r="G123" s="18"/>
      <c r="H123" s="18"/>
      <c r="I123" s="18"/>
      <c r="J123" s="18"/>
      <c r="K123" s="18"/>
      <c r="L123" s="18"/>
      <c r="M123" s="18"/>
      <c r="N123" s="18"/>
      <c r="O123" s="18"/>
      <c r="P123" s="27"/>
      <c r="Q123" s="28"/>
      <c r="R123" s="28"/>
      <c r="S123" s="18"/>
      <c r="T123" s="29"/>
      <c r="U123" s="29"/>
      <c r="V123" s="18"/>
      <c r="W123" s="18"/>
      <c r="Y123" s="10"/>
      <c r="Z123" s="30"/>
      <c r="AA123" s="30"/>
      <c r="AB123" s="30"/>
      <c r="AC123" s="31"/>
      <c r="AD123" s="31"/>
      <c r="AE123" s="31"/>
      <c r="AF123" s="31"/>
      <c r="AG123" s="32"/>
      <c r="AI123" s="10"/>
      <c r="AJ123" s="10"/>
      <c r="AK123" s="10"/>
      <c r="AL123" s="10"/>
      <c r="AM123" s="10"/>
      <c r="AN123" s="10"/>
      <c r="AO123" s="10"/>
      <c r="AP123" s="10"/>
      <c r="AQ123" s="32"/>
      <c r="AS123" s="10"/>
      <c r="AT123" s="10"/>
      <c r="AU123" s="10"/>
      <c r="AV123" s="10"/>
      <c r="AX123" s="32"/>
    </row>
    <row r="124" spans="7:50" x14ac:dyDescent="0.6">
      <c r="G124" s="18"/>
      <c r="H124" s="18"/>
      <c r="I124" s="18"/>
      <c r="J124" s="18"/>
      <c r="K124" s="18"/>
      <c r="L124" s="18"/>
      <c r="M124" s="18"/>
      <c r="N124" s="18"/>
      <c r="O124" s="18"/>
      <c r="P124" s="27"/>
      <c r="Q124" s="28"/>
      <c r="R124" s="28"/>
      <c r="S124" s="18"/>
      <c r="T124" s="29"/>
      <c r="U124" s="29"/>
      <c r="V124" s="18"/>
      <c r="W124" s="18"/>
      <c r="Y124" s="10"/>
      <c r="Z124" s="30"/>
      <c r="AA124" s="30"/>
      <c r="AB124" s="30"/>
      <c r="AC124" s="31"/>
      <c r="AD124" s="31"/>
      <c r="AE124" s="31"/>
      <c r="AF124" s="31"/>
      <c r="AG124" s="32"/>
      <c r="AI124" s="10"/>
      <c r="AJ124" s="10"/>
      <c r="AK124" s="10"/>
      <c r="AL124" s="10"/>
      <c r="AM124" s="10"/>
      <c r="AN124" s="10"/>
      <c r="AO124" s="10"/>
      <c r="AP124" s="10"/>
      <c r="AQ124" s="32"/>
      <c r="AS124" s="10"/>
      <c r="AT124" s="10"/>
      <c r="AU124" s="10"/>
      <c r="AV124" s="10"/>
      <c r="AX124" s="32"/>
    </row>
    <row r="125" spans="7:50" x14ac:dyDescent="0.6">
      <c r="G125" s="18"/>
      <c r="H125" s="18"/>
      <c r="I125" s="18"/>
      <c r="J125" s="18"/>
      <c r="K125" s="18"/>
      <c r="L125" s="18"/>
      <c r="M125" s="18"/>
      <c r="N125" s="18"/>
      <c r="O125" s="18"/>
      <c r="P125" s="27"/>
      <c r="Q125" s="28"/>
      <c r="R125" s="28"/>
      <c r="S125" s="18"/>
      <c r="T125" s="29"/>
      <c r="U125" s="29"/>
      <c r="V125" s="18"/>
      <c r="W125" s="18"/>
      <c r="Y125" s="10"/>
      <c r="Z125" s="30"/>
      <c r="AA125" s="30"/>
      <c r="AB125" s="30"/>
      <c r="AC125" s="31"/>
      <c r="AD125" s="31"/>
      <c r="AE125" s="31"/>
      <c r="AF125" s="31"/>
      <c r="AG125" s="32"/>
      <c r="AI125" s="10"/>
      <c r="AJ125" s="10"/>
      <c r="AK125" s="10"/>
      <c r="AL125" s="10"/>
      <c r="AM125" s="10"/>
      <c r="AN125" s="10"/>
      <c r="AO125" s="10"/>
      <c r="AP125" s="10"/>
      <c r="AQ125" s="32"/>
      <c r="AS125" s="10"/>
      <c r="AT125" s="10"/>
      <c r="AU125" s="10"/>
      <c r="AV125" s="10"/>
      <c r="AX125" s="32"/>
    </row>
    <row r="126" spans="7:50" x14ac:dyDescent="0.6">
      <c r="G126" s="18"/>
      <c r="H126" s="18"/>
      <c r="I126" s="18"/>
      <c r="J126" s="18"/>
      <c r="K126" s="18"/>
      <c r="L126" s="18"/>
      <c r="M126" s="18"/>
      <c r="N126" s="18"/>
      <c r="O126" s="18"/>
      <c r="P126" s="27"/>
      <c r="Q126" s="28"/>
      <c r="R126" s="28"/>
      <c r="S126" s="18"/>
      <c r="T126" s="29"/>
      <c r="U126" s="29"/>
      <c r="V126" s="18"/>
      <c r="W126" s="18"/>
      <c r="Y126" s="10"/>
      <c r="Z126" s="30"/>
      <c r="AA126" s="30"/>
      <c r="AB126" s="30"/>
      <c r="AC126" s="31"/>
      <c r="AD126" s="31"/>
      <c r="AE126" s="31"/>
      <c r="AF126" s="31"/>
      <c r="AG126" s="32"/>
      <c r="AI126" s="10"/>
      <c r="AJ126" s="10"/>
      <c r="AK126" s="10"/>
      <c r="AL126" s="10"/>
      <c r="AM126" s="10"/>
      <c r="AN126" s="10"/>
      <c r="AO126" s="10"/>
      <c r="AP126" s="10"/>
      <c r="AQ126" s="32"/>
      <c r="AS126" s="10"/>
      <c r="AT126" s="10"/>
      <c r="AU126" s="10"/>
      <c r="AV126" s="10"/>
      <c r="AX126" s="32"/>
    </row>
    <row r="127" spans="7:50" x14ac:dyDescent="0.6">
      <c r="G127" s="18"/>
      <c r="H127" s="18"/>
      <c r="I127" s="18"/>
      <c r="J127" s="18"/>
      <c r="K127" s="18"/>
      <c r="L127" s="18"/>
      <c r="M127" s="18"/>
      <c r="N127" s="18"/>
      <c r="O127" s="18"/>
      <c r="P127" s="27"/>
      <c r="Q127" s="28"/>
      <c r="R127" s="28"/>
      <c r="S127" s="18"/>
      <c r="T127" s="29"/>
      <c r="U127" s="29"/>
      <c r="V127" s="18"/>
      <c r="W127" s="18"/>
      <c r="Y127" s="10"/>
      <c r="Z127" s="30"/>
      <c r="AA127" s="30"/>
      <c r="AB127" s="30"/>
      <c r="AC127" s="31"/>
      <c r="AD127" s="31"/>
      <c r="AE127" s="31"/>
      <c r="AF127" s="31"/>
      <c r="AG127" s="32"/>
      <c r="AI127" s="10"/>
      <c r="AJ127" s="10"/>
      <c r="AK127" s="10"/>
      <c r="AL127" s="10"/>
      <c r="AM127" s="10"/>
      <c r="AN127" s="10"/>
      <c r="AO127" s="10"/>
      <c r="AP127" s="10"/>
      <c r="AQ127" s="32"/>
      <c r="AS127" s="10"/>
      <c r="AT127" s="10"/>
      <c r="AU127" s="10"/>
      <c r="AV127" s="10"/>
      <c r="AX127" s="32"/>
    </row>
    <row r="128" spans="7:50" x14ac:dyDescent="0.6">
      <c r="G128" s="18"/>
      <c r="H128" s="18"/>
      <c r="I128" s="18"/>
      <c r="J128" s="18"/>
      <c r="K128" s="18"/>
      <c r="L128" s="18"/>
      <c r="M128" s="18"/>
      <c r="N128" s="18"/>
      <c r="O128" s="18"/>
      <c r="P128" s="27"/>
      <c r="Q128" s="28"/>
      <c r="R128" s="28"/>
      <c r="S128" s="18"/>
      <c r="T128" s="29"/>
      <c r="U128" s="29"/>
      <c r="V128" s="18"/>
      <c r="W128" s="18"/>
      <c r="Y128" s="10"/>
      <c r="Z128" s="30"/>
      <c r="AA128" s="30"/>
      <c r="AB128" s="30"/>
      <c r="AC128" s="31"/>
      <c r="AD128" s="31"/>
      <c r="AE128" s="31"/>
      <c r="AF128" s="31"/>
      <c r="AG128" s="32"/>
      <c r="AI128" s="10"/>
      <c r="AJ128" s="10"/>
      <c r="AK128" s="10"/>
      <c r="AL128" s="10"/>
      <c r="AM128" s="10"/>
      <c r="AN128" s="10"/>
      <c r="AO128" s="10"/>
      <c r="AP128" s="10"/>
      <c r="AQ128" s="32"/>
      <c r="AS128" s="10"/>
      <c r="AT128" s="10"/>
      <c r="AU128" s="10"/>
      <c r="AV128" s="10"/>
      <c r="AX128" s="32"/>
    </row>
    <row r="129" spans="7:50" x14ac:dyDescent="0.6">
      <c r="G129" s="18"/>
      <c r="H129" s="18"/>
      <c r="I129" s="18"/>
      <c r="J129" s="18"/>
      <c r="K129" s="18"/>
      <c r="L129" s="18"/>
      <c r="M129" s="18"/>
      <c r="N129" s="18"/>
      <c r="O129" s="18"/>
      <c r="P129" s="27"/>
      <c r="Q129" s="28"/>
      <c r="R129" s="28"/>
      <c r="S129" s="18"/>
      <c r="T129" s="29"/>
      <c r="U129" s="29"/>
      <c r="V129" s="18"/>
      <c r="W129" s="18"/>
      <c r="Y129" s="10"/>
      <c r="Z129" s="30"/>
      <c r="AA129" s="30"/>
      <c r="AB129" s="30"/>
      <c r="AC129" s="31"/>
      <c r="AD129" s="31"/>
      <c r="AE129" s="31"/>
      <c r="AF129" s="31"/>
      <c r="AG129" s="32"/>
      <c r="AI129" s="10"/>
      <c r="AJ129" s="10"/>
      <c r="AK129" s="10"/>
      <c r="AL129" s="10"/>
      <c r="AM129" s="10"/>
      <c r="AN129" s="10"/>
      <c r="AO129" s="10"/>
      <c r="AP129" s="10"/>
      <c r="AQ129" s="32"/>
      <c r="AS129" s="10"/>
      <c r="AT129" s="10"/>
      <c r="AU129" s="10"/>
      <c r="AV129" s="10"/>
      <c r="AX129" s="32"/>
    </row>
    <row r="130" spans="7:50" x14ac:dyDescent="0.6">
      <c r="G130" s="18"/>
      <c r="H130" s="18"/>
      <c r="I130" s="18"/>
      <c r="J130" s="18"/>
      <c r="K130" s="18"/>
      <c r="L130" s="18"/>
      <c r="M130" s="18"/>
      <c r="N130" s="18"/>
      <c r="O130" s="18"/>
      <c r="P130" s="27"/>
      <c r="Q130" s="28"/>
      <c r="R130" s="28"/>
      <c r="S130" s="18"/>
      <c r="T130" s="29"/>
      <c r="U130" s="29"/>
      <c r="V130" s="18"/>
      <c r="W130" s="18"/>
      <c r="Y130" s="10"/>
      <c r="Z130" s="30"/>
      <c r="AA130" s="30"/>
      <c r="AB130" s="30"/>
      <c r="AC130" s="31"/>
      <c r="AD130" s="31"/>
      <c r="AE130" s="31"/>
      <c r="AF130" s="31"/>
      <c r="AG130" s="32"/>
      <c r="AI130" s="10"/>
      <c r="AJ130" s="10"/>
      <c r="AK130" s="10"/>
      <c r="AL130" s="10"/>
      <c r="AM130" s="10"/>
      <c r="AN130" s="10"/>
      <c r="AO130" s="10"/>
      <c r="AP130" s="10"/>
      <c r="AQ130" s="32"/>
      <c r="AS130" s="10"/>
      <c r="AT130" s="10"/>
      <c r="AU130" s="10"/>
      <c r="AV130" s="10"/>
      <c r="AX130" s="32"/>
    </row>
    <row r="131" spans="7:50" x14ac:dyDescent="0.6">
      <c r="G131" s="18"/>
      <c r="H131" s="18"/>
      <c r="I131" s="18"/>
      <c r="J131" s="18"/>
      <c r="K131" s="18"/>
      <c r="L131" s="18"/>
      <c r="M131" s="18"/>
      <c r="N131" s="18"/>
      <c r="O131" s="18"/>
      <c r="P131" s="27"/>
      <c r="Q131" s="28"/>
      <c r="R131" s="28"/>
      <c r="S131" s="18"/>
      <c r="T131" s="29"/>
      <c r="U131" s="29"/>
      <c r="V131" s="18"/>
      <c r="W131" s="18"/>
      <c r="Y131" s="10"/>
      <c r="Z131" s="30"/>
      <c r="AA131" s="30"/>
      <c r="AB131" s="30"/>
      <c r="AC131" s="31"/>
      <c r="AD131" s="31"/>
      <c r="AE131" s="31"/>
      <c r="AF131" s="31"/>
      <c r="AG131" s="32"/>
      <c r="AI131" s="10"/>
      <c r="AJ131" s="10"/>
      <c r="AK131" s="10"/>
      <c r="AL131" s="10"/>
      <c r="AM131" s="10"/>
      <c r="AN131" s="10"/>
      <c r="AO131" s="10"/>
      <c r="AP131" s="10"/>
      <c r="AQ131" s="32"/>
      <c r="AS131" s="10"/>
      <c r="AT131" s="10"/>
      <c r="AU131" s="10"/>
      <c r="AV131" s="10"/>
      <c r="AX131" s="32"/>
    </row>
    <row r="132" spans="7:50" x14ac:dyDescent="0.6">
      <c r="G132" s="18"/>
      <c r="H132" s="18"/>
      <c r="I132" s="18"/>
      <c r="J132" s="18"/>
      <c r="K132" s="18"/>
      <c r="L132" s="18"/>
      <c r="M132" s="18"/>
      <c r="N132" s="18"/>
      <c r="O132" s="18"/>
      <c r="P132" s="27"/>
      <c r="Q132" s="28"/>
      <c r="R132" s="28"/>
      <c r="S132" s="18"/>
      <c r="T132" s="29"/>
      <c r="U132" s="29"/>
      <c r="V132" s="18"/>
      <c r="W132" s="18"/>
      <c r="Y132" s="10"/>
      <c r="Z132" s="30"/>
      <c r="AA132" s="30"/>
      <c r="AB132" s="30"/>
      <c r="AC132" s="31"/>
      <c r="AD132" s="31"/>
      <c r="AE132" s="31"/>
      <c r="AF132" s="31"/>
      <c r="AG132" s="32"/>
      <c r="AI132" s="10"/>
      <c r="AJ132" s="10"/>
      <c r="AK132" s="10"/>
      <c r="AL132" s="10"/>
      <c r="AM132" s="10"/>
      <c r="AN132" s="10"/>
      <c r="AO132" s="10"/>
      <c r="AP132" s="10"/>
      <c r="AQ132" s="32"/>
      <c r="AS132" s="10"/>
      <c r="AT132" s="10"/>
      <c r="AU132" s="10"/>
      <c r="AV132" s="10"/>
      <c r="AX132" s="32"/>
    </row>
    <row r="133" spans="7:50" x14ac:dyDescent="0.6">
      <c r="G133" s="18"/>
      <c r="H133" s="18"/>
      <c r="I133" s="18"/>
      <c r="J133" s="18"/>
      <c r="K133" s="18"/>
      <c r="L133" s="18"/>
      <c r="M133" s="18"/>
      <c r="N133" s="18"/>
      <c r="O133" s="18"/>
      <c r="P133" s="27"/>
      <c r="Q133" s="28"/>
      <c r="R133" s="28"/>
      <c r="S133" s="18"/>
      <c r="T133" s="29"/>
      <c r="U133" s="29"/>
      <c r="V133" s="18"/>
      <c r="W133" s="18"/>
      <c r="Y133" s="10"/>
      <c r="Z133" s="30"/>
      <c r="AA133" s="30"/>
      <c r="AB133" s="30"/>
      <c r="AC133" s="31"/>
      <c r="AD133" s="31"/>
      <c r="AE133" s="31"/>
      <c r="AF133" s="31"/>
      <c r="AG133" s="32"/>
      <c r="AI133" s="10"/>
      <c r="AJ133" s="10"/>
      <c r="AK133" s="10"/>
      <c r="AL133" s="10"/>
      <c r="AM133" s="10"/>
      <c r="AN133" s="10"/>
      <c r="AO133" s="10"/>
      <c r="AP133" s="10"/>
      <c r="AQ133" s="32"/>
      <c r="AS133" s="10"/>
      <c r="AT133" s="10"/>
      <c r="AU133" s="10"/>
      <c r="AV133" s="10"/>
      <c r="AX133" s="32"/>
    </row>
    <row r="134" spans="7:50" x14ac:dyDescent="0.6">
      <c r="G134" s="18"/>
      <c r="H134" s="18"/>
      <c r="I134" s="18"/>
      <c r="J134" s="18"/>
      <c r="K134" s="18"/>
      <c r="L134" s="18"/>
      <c r="M134" s="18"/>
      <c r="N134" s="18"/>
      <c r="O134" s="18"/>
      <c r="P134" s="27"/>
      <c r="Q134" s="28"/>
      <c r="R134" s="28"/>
      <c r="S134" s="18"/>
      <c r="T134" s="29"/>
      <c r="U134" s="29"/>
      <c r="V134" s="18"/>
      <c r="W134" s="18"/>
      <c r="Y134" s="10"/>
      <c r="Z134" s="30"/>
      <c r="AA134" s="30"/>
      <c r="AB134" s="30"/>
      <c r="AC134" s="31"/>
      <c r="AD134" s="31"/>
      <c r="AE134" s="31"/>
      <c r="AF134" s="31"/>
      <c r="AG134" s="32"/>
      <c r="AI134" s="10"/>
      <c r="AJ134" s="10"/>
      <c r="AK134" s="10"/>
      <c r="AL134" s="10"/>
      <c r="AM134" s="10"/>
      <c r="AN134" s="10"/>
      <c r="AO134" s="10"/>
      <c r="AP134" s="10"/>
      <c r="AQ134" s="32"/>
      <c r="AS134" s="10"/>
      <c r="AT134" s="10"/>
      <c r="AU134" s="10"/>
      <c r="AV134" s="10"/>
      <c r="AX134" s="32"/>
    </row>
    <row r="135" spans="7:50" x14ac:dyDescent="0.6">
      <c r="G135" s="18"/>
      <c r="H135" s="18"/>
      <c r="I135" s="18"/>
      <c r="J135" s="18"/>
      <c r="K135" s="18"/>
      <c r="L135" s="18"/>
      <c r="M135" s="18"/>
      <c r="N135" s="18"/>
      <c r="O135" s="18"/>
      <c r="P135" s="27"/>
      <c r="Q135" s="28"/>
      <c r="R135" s="28"/>
      <c r="S135" s="18"/>
      <c r="T135" s="29"/>
      <c r="U135" s="29"/>
      <c r="V135" s="18"/>
      <c r="W135" s="18"/>
      <c r="Y135" s="10"/>
      <c r="Z135" s="30"/>
      <c r="AA135" s="30"/>
      <c r="AB135" s="30"/>
      <c r="AC135" s="31"/>
      <c r="AD135" s="31"/>
      <c r="AE135" s="31"/>
      <c r="AF135" s="31"/>
      <c r="AG135" s="32"/>
      <c r="AI135" s="10"/>
      <c r="AJ135" s="10"/>
      <c r="AK135" s="10"/>
      <c r="AL135" s="10"/>
      <c r="AM135" s="10"/>
      <c r="AN135" s="10"/>
      <c r="AO135" s="10"/>
      <c r="AP135" s="10"/>
      <c r="AQ135" s="32"/>
      <c r="AS135" s="10"/>
      <c r="AT135" s="10"/>
      <c r="AU135" s="10"/>
      <c r="AV135" s="10"/>
      <c r="AX135" s="32"/>
    </row>
    <row r="136" spans="7:50" x14ac:dyDescent="0.6">
      <c r="G136" s="18"/>
      <c r="H136" s="18"/>
      <c r="I136" s="18"/>
      <c r="J136" s="18"/>
      <c r="K136" s="18"/>
      <c r="L136" s="18"/>
      <c r="M136" s="18"/>
      <c r="N136" s="18"/>
      <c r="O136" s="18"/>
      <c r="P136" s="27"/>
      <c r="Q136" s="28"/>
      <c r="R136" s="28"/>
      <c r="S136" s="18"/>
      <c r="T136" s="29"/>
      <c r="U136" s="29"/>
      <c r="V136" s="18"/>
      <c r="W136" s="18"/>
      <c r="Y136" s="10"/>
      <c r="Z136" s="30"/>
      <c r="AA136" s="30"/>
      <c r="AB136" s="30"/>
      <c r="AC136" s="31"/>
      <c r="AD136" s="31"/>
      <c r="AE136" s="31"/>
      <c r="AF136" s="31"/>
      <c r="AG136" s="32"/>
      <c r="AI136" s="10"/>
      <c r="AJ136" s="10"/>
      <c r="AK136" s="10"/>
      <c r="AL136" s="10"/>
      <c r="AM136" s="10"/>
      <c r="AN136" s="10"/>
      <c r="AO136" s="10"/>
      <c r="AP136" s="10"/>
      <c r="AQ136" s="32"/>
      <c r="AS136" s="10"/>
      <c r="AT136" s="10"/>
      <c r="AU136" s="10"/>
      <c r="AV136" s="10"/>
      <c r="AX136" s="32"/>
    </row>
    <row r="137" spans="7:50" x14ac:dyDescent="0.6">
      <c r="G137" s="18"/>
      <c r="H137" s="18"/>
      <c r="I137" s="18"/>
      <c r="J137" s="18"/>
      <c r="K137" s="18"/>
      <c r="L137" s="18"/>
      <c r="M137" s="18"/>
      <c r="N137" s="18"/>
      <c r="O137" s="18"/>
      <c r="P137" s="27"/>
      <c r="Q137" s="28"/>
      <c r="R137" s="28"/>
      <c r="S137" s="18"/>
      <c r="T137" s="29"/>
      <c r="U137" s="29"/>
      <c r="V137" s="18"/>
      <c r="W137" s="18"/>
      <c r="Y137" s="10"/>
      <c r="Z137" s="30"/>
      <c r="AA137" s="30"/>
      <c r="AB137" s="30"/>
      <c r="AC137" s="31"/>
      <c r="AD137" s="31"/>
      <c r="AE137" s="31"/>
      <c r="AF137" s="31"/>
      <c r="AG137" s="32"/>
      <c r="AI137" s="10"/>
      <c r="AJ137" s="10"/>
      <c r="AK137" s="10"/>
      <c r="AL137" s="10"/>
      <c r="AM137" s="10"/>
      <c r="AN137" s="10"/>
      <c r="AO137" s="10"/>
      <c r="AP137" s="10"/>
      <c r="AQ137" s="32"/>
      <c r="AS137" s="10"/>
      <c r="AT137" s="10"/>
      <c r="AU137" s="10"/>
      <c r="AV137" s="10"/>
      <c r="AX137" s="32"/>
    </row>
    <row r="138" spans="7:50" x14ac:dyDescent="0.6">
      <c r="G138" s="18"/>
      <c r="H138" s="18"/>
      <c r="I138" s="18"/>
      <c r="J138" s="18"/>
      <c r="K138" s="18"/>
      <c r="L138" s="18"/>
      <c r="M138" s="18"/>
      <c r="N138" s="18"/>
      <c r="O138" s="18"/>
      <c r="P138" s="27"/>
      <c r="Q138" s="28"/>
      <c r="R138" s="28"/>
      <c r="S138" s="18"/>
      <c r="T138" s="29"/>
      <c r="U138" s="29"/>
      <c r="V138" s="18"/>
      <c r="W138" s="18"/>
      <c r="Y138" s="10"/>
      <c r="Z138" s="30"/>
      <c r="AA138" s="30"/>
      <c r="AB138" s="30"/>
      <c r="AC138" s="31"/>
      <c r="AD138" s="31"/>
      <c r="AE138" s="31"/>
      <c r="AF138" s="31"/>
      <c r="AG138" s="32"/>
      <c r="AI138" s="10"/>
      <c r="AJ138" s="10"/>
      <c r="AK138" s="10"/>
      <c r="AL138" s="10"/>
      <c r="AM138" s="10"/>
      <c r="AN138" s="10"/>
      <c r="AO138" s="10"/>
      <c r="AP138" s="10"/>
      <c r="AQ138" s="32"/>
      <c r="AS138" s="10"/>
      <c r="AT138" s="10"/>
      <c r="AU138" s="10"/>
      <c r="AV138" s="10"/>
      <c r="AX138" s="32"/>
    </row>
    <row r="139" spans="7:50" x14ac:dyDescent="0.6">
      <c r="G139" s="18"/>
      <c r="H139" s="18"/>
      <c r="I139" s="18"/>
      <c r="J139" s="18"/>
      <c r="K139" s="18"/>
      <c r="L139" s="18"/>
      <c r="M139" s="18"/>
      <c r="N139" s="18"/>
      <c r="O139" s="18"/>
      <c r="P139" s="27"/>
      <c r="Q139" s="28"/>
      <c r="R139" s="28"/>
      <c r="S139" s="18"/>
      <c r="T139" s="29"/>
      <c r="U139" s="29"/>
      <c r="V139" s="18"/>
      <c r="W139" s="18"/>
      <c r="Y139" s="10"/>
      <c r="Z139" s="30"/>
      <c r="AA139" s="30"/>
      <c r="AB139" s="30"/>
      <c r="AC139" s="31"/>
      <c r="AD139" s="31"/>
      <c r="AE139" s="31"/>
      <c r="AF139" s="31"/>
      <c r="AG139" s="32"/>
      <c r="AI139" s="10"/>
      <c r="AJ139" s="10"/>
      <c r="AK139" s="10"/>
      <c r="AL139" s="10"/>
      <c r="AM139" s="10"/>
      <c r="AN139" s="10"/>
      <c r="AO139" s="10"/>
      <c r="AP139" s="10"/>
      <c r="AQ139" s="32"/>
      <c r="AS139" s="10"/>
      <c r="AT139" s="10"/>
      <c r="AU139" s="10"/>
      <c r="AV139" s="10"/>
      <c r="AX139" s="32"/>
    </row>
    <row r="140" spans="7:50" x14ac:dyDescent="0.6">
      <c r="G140" s="18"/>
      <c r="H140" s="18"/>
      <c r="I140" s="18"/>
      <c r="J140" s="18"/>
      <c r="K140" s="18"/>
      <c r="L140" s="18"/>
      <c r="M140" s="18"/>
      <c r="N140" s="18"/>
      <c r="O140" s="18"/>
      <c r="P140" s="27"/>
      <c r="Q140" s="28"/>
      <c r="R140" s="28"/>
      <c r="S140" s="18"/>
      <c r="T140" s="29"/>
      <c r="U140" s="29"/>
      <c r="V140" s="18"/>
      <c r="W140" s="18"/>
      <c r="Y140" s="10"/>
      <c r="Z140" s="30"/>
      <c r="AA140" s="30"/>
      <c r="AB140" s="30"/>
      <c r="AC140" s="31"/>
      <c r="AD140" s="31"/>
      <c r="AE140" s="31"/>
      <c r="AF140" s="31"/>
      <c r="AG140" s="32"/>
      <c r="AI140" s="10"/>
      <c r="AJ140" s="10"/>
      <c r="AK140" s="10"/>
      <c r="AL140" s="10"/>
      <c r="AM140" s="10"/>
      <c r="AN140" s="10"/>
      <c r="AO140" s="10"/>
      <c r="AP140" s="10"/>
      <c r="AQ140" s="32"/>
      <c r="AS140" s="10"/>
      <c r="AT140" s="10"/>
      <c r="AU140" s="10"/>
      <c r="AV140" s="10"/>
      <c r="AX140" s="32"/>
    </row>
    <row r="141" spans="7:50" x14ac:dyDescent="0.6">
      <c r="G141" s="18"/>
      <c r="H141" s="18"/>
      <c r="I141" s="18"/>
      <c r="J141" s="18"/>
      <c r="K141" s="18"/>
      <c r="L141" s="18"/>
      <c r="M141" s="18"/>
      <c r="N141" s="18"/>
      <c r="O141" s="18"/>
      <c r="P141" s="27"/>
      <c r="Q141" s="28"/>
      <c r="R141" s="28"/>
      <c r="S141" s="18"/>
      <c r="T141" s="29"/>
      <c r="U141" s="29"/>
      <c r="V141" s="18"/>
      <c r="W141" s="18"/>
      <c r="Y141" s="10"/>
      <c r="Z141" s="30"/>
      <c r="AA141" s="30"/>
      <c r="AB141" s="30"/>
      <c r="AC141" s="31"/>
      <c r="AD141" s="31"/>
      <c r="AE141" s="31"/>
      <c r="AF141" s="31"/>
      <c r="AG141" s="32"/>
      <c r="AI141" s="10"/>
      <c r="AJ141" s="10"/>
      <c r="AK141" s="10"/>
      <c r="AL141" s="10"/>
      <c r="AM141" s="10"/>
      <c r="AN141" s="10"/>
      <c r="AO141" s="10"/>
      <c r="AP141" s="10"/>
      <c r="AQ141" s="32"/>
      <c r="AS141" s="10"/>
      <c r="AT141" s="10"/>
      <c r="AU141" s="10"/>
      <c r="AV141" s="10"/>
      <c r="AX141" s="32"/>
    </row>
    <row r="142" spans="7:50" x14ac:dyDescent="0.6">
      <c r="G142" s="18"/>
      <c r="H142" s="18"/>
      <c r="I142" s="18"/>
      <c r="J142" s="18"/>
      <c r="K142" s="18"/>
      <c r="L142" s="18"/>
      <c r="M142" s="18"/>
      <c r="N142" s="18"/>
      <c r="O142" s="18"/>
      <c r="P142" s="27"/>
      <c r="Q142" s="28"/>
      <c r="R142" s="28"/>
      <c r="S142" s="18"/>
      <c r="T142" s="29"/>
      <c r="U142" s="29"/>
      <c r="V142" s="18"/>
      <c r="W142" s="18"/>
      <c r="Y142" s="10"/>
      <c r="Z142" s="30"/>
      <c r="AA142" s="30"/>
      <c r="AB142" s="30"/>
      <c r="AC142" s="31"/>
      <c r="AD142" s="31"/>
      <c r="AE142" s="31"/>
      <c r="AF142" s="31"/>
      <c r="AG142" s="32"/>
      <c r="AI142" s="10"/>
      <c r="AJ142" s="10"/>
      <c r="AK142" s="10"/>
      <c r="AL142" s="10"/>
      <c r="AM142" s="10"/>
      <c r="AN142" s="10"/>
      <c r="AO142" s="10"/>
      <c r="AP142" s="10"/>
      <c r="AQ142" s="32"/>
      <c r="AS142" s="10"/>
      <c r="AT142" s="10"/>
      <c r="AU142" s="10"/>
      <c r="AV142" s="10"/>
      <c r="AX142" s="32"/>
    </row>
  </sheetData>
  <mergeCells count="13">
    <mergeCell ref="BA7:BI9"/>
    <mergeCell ref="B7:E9"/>
    <mergeCell ref="G7:H7"/>
    <mergeCell ref="I7:L7"/>
    <mergeCell ref="M7:O7"/>
    <mergeCell ref="P7:T7"/>
    <mergeCell ref="Y7:AG7"/>
    <mergeCell ref="AI7:AQ7"/>
    <mergeCell ref="AQ2:AQ3"/>
    <mergeCell ref="AX2:AX3"/>
    <mergeCell ref="AQ4:AQ5"/>
    <mergeCell ref="AX4:AX5"/>
    <mergeCell ref="V7:W7"/>
  </mergeCells>
  <phoneticPr fontId="26" type="noConversion"/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xr:uid="{863822CA-3250-4913-85BB-AE8D4724699E}">
          <x14:formula1>
            <xm:f>'Listen und Kennwerte'!#REF!</xm:f>
          </x14:formula1>
          <xm:sqref>L8:L9 I8:I69 J9:K9</xm:sqref>
        </x14:dataValidation>
        <x14:dataValidation type="list" allowBlank="1" showInputMessage="1" showErrorMessage="1" xr:uid="{29726116-39AB-4778-B254-28830CCC5FE8}">
          <x14:formula1>
            <xm:f>'Listen und Kennwerte'!#REF!</xm:f>
          </x14:formula1>
          <xm:sqref>D32:D33 P10:P69</xm:sqref>
        </x14:dataValidation>
        <x14:dataValidation type="list" allowBlank="1" showInputMessage="1" showErrorMessage="1" xr:uid="{18EDBEC4-18BE-4936-9DEE-B766D9CEFFF0}">
          <x14:formula1>
            <xm:f>'Listen und Kennwerte'!$Q$4:$Q$8</xm:f>
          </x14:formula1>
          <xm:sqref>I10:I69</xm:sqref>
        </x14:dataValidation>
        <x14:dataValidation type="list" allowBlank="1" showInputMessage="1" showErrorMessage="1" xr:uid="{81E3A335-B2BD-4D4E-92A9-C6FB883E996C}">
          <x14:formula1>
            <xm:f>'Listen und Kennwerte'!$R$4:$R$5</xm:f>
          </x14:formula1>
          <xm:sqref>D17 D20</xm:sqref>
        </x14:dataValidation>
        <x14:dataValidation type="list" allowBlank="1" showInputMessage="1" showErrorMessage="1" xr:uid="{C84062FC-AB05-4B07-AED4-8246D5DC9568}">
          <x14:formula1>
            <xm:f>'Listen und Kennwerte'!$S$5:$S$8</xm:f>
          </x14:formula1>
          <xm:sqref>D13</xm:sqref>
        </x14:dataValidation>
        <x14:dataValidation type="list" allowBlank="1" showInputMessage="1" showErrorMessage="1" xr:uid="{D88A0853-708D-4FDB-9BD9-867BAD233F83}">
          <x14:formula1>
            <xm:f>'Listen und Kennwerte'!$S$4:$S$8</xm:f>
          </x14:formula1>
          <xm:sqref>H8:H9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627E2D-EA6F-452B-A5BB-F6C727F0CC4F}">
  <sheetPr codeName="Sheet10">
    <tabColor theme="1"/>
  </sheetPr>
  <dimension ref="A1:BR145"/>
  <sheetViews>
    <sheetView showGridLines="0" topLeftCell="AF1" zoomScale="70" zoomScaleNormal="70" workbookViewId="0">
      <selection activeCell="R32" sqref="R32"/>
    </sheetView>
  </sheetViews>
  <sheetFormatPr defaultRowHeight="15.6" x14ac:dyDescent="0.6"/>
  <cols>
    <col min="1" max="1" width="3.44921875" customWidth="1"/>
    <col min="6" max="6" width="10.5" customWidth="1"/>
    <col min="7" max="12" width="8.796875" customWidth="1"/>
    <col min="13" max="13" width="11.3984375" customWidth="1"/>
    <col min="17" max="24" width="8.796875" customWidth="1"/>
    <col min="25" max="25" width="2.75" customWidth="1"/>
    <col min="26" max="31" width="8.796875" customWidth="1"/>
    <col min="32" max="32" width="0.796875" customWidth="1"/>
    <col min="33" max="33" width="11.296875" customWidth="1"/>
    <col min="34" max="34" width="2.75" customWidth="1"/>
    <col min="35" max="38" width="9.25" bestFit="1" customWidth="1"/>
    <col min="39" max="42" width="9.25" customWidth="1"/>
    <col min="43" max="43" width="1.6484375" customWidth="1"/>
    <col min="44" max="44" width="10.69921875" customWidth="1"/>
    <col min="45" max="45" width="2.75" hidden="1" customWidth="1"/>
    <col min="46" max="49" width="9.25" hidden="1" customWidth="1"/>
    <col min="50" max="50" width="1.6484375" hidden="1" customWidth="1"/>
    <col min="51" max="51" width="10.69921875" hidden="1" customWidth="1"/>
    <col min="52" max="52" width="2.75" customWidth="1"/>
    <col min="53" max="70" width="8.796875" style="3"/>
  </cols>
  <sheetData>
    <row r="1" spans="1:70" s="52" customFormat="1" ht="49.5" customHeight="1" x14ac:dyDescent="0.6">
      <c r="A1" s="52">
        <v>1</v>
      </c>
      <c r="B1" s="157" t="s">
        <v>279</v>
      </c>
      <c r="C1" s="61"/>
      <c r="D1" s="53"/>
      <c r="F1" s="53"/>
      <c r="H1" s="53"/>
      <c r="I1" s="52">
        <v>9</v>
      </c>
      <c r="J1" s="53">
        <v>10</v>
      </c>
      <c r="K1" s="52">
        <v>11</v>
      </c>
      <c r="L1" s="53">
        <v>12</v>
      </c>
      <c r="M1" s="52">
        <v>13</v>
      </c>
      <c r="N1" s="53">
        <v>14</v>
      </c>
      <c r="O1" s="52">
        <v>15</v>
      </c>
      <c r="P1" s="53">
        <v>16</v>
      </c>
      <c r="Q1" s="52">
        <v>17</v>
      </c>
      <c r="R1" s="53">
        <v>18</v>
      </c>
      <c r="S1" s="52">
        <v>19</v>
      </c>
      <c r="T1" s="53">
        <v>20</v>
      </c>
      <c r="U1" s="52">
        <v>21</v>
      </c>
      <c r="V1" s="53">
        <v>22</v>
      </c>
      <c r="W1" s="52">
        <v>23</v>
      </c>
      <c r="X1" s="53">
        <v>24</v>
      </c>
      <c r="Y1" s="52">
        <v>25</v>
      </c>
      <c r="Z1" s="53">
        <v>26</v>
      </c>
      <c r="AA1" s="52">
        <v>27</v>
      </c>
      <c r="AB1" s="53">
        <v>28</v>
      </c>
      <c r="AC1" s="52">
        <v>29</v>
      </c>
      <c r="AD1" s="53">
        <v>30</v>
      </c>
      <c r="AE1" s="52">
        <v>31</v>
      </c>
      <c r="AF1" s="53">
        <v>32</v>
      </c>
      <c r="AG1" s="52">
        <v>33</v>
      </c>
      <c r="AH1" s="53">
        <v>34</v>
      </c>
      <c r="AI1" s="52">
        <v>35</v>
      </c>
      <c r="AJ1" s="53">
        <v>36</v>
      </c>
      <c r="AK1" s="52">
        <v>37</v>
      </c>
      <c r="AL1" s="53">
        <v>38</v>
      </c>
      <c r="AM1" s="52">
        <v>39</v>
      </c>
      <c r="AN1" s="53">
        <v>40</v>
      </c>
      <c r="AO1" s="52">
        <v>41</v>
      </c>
      <c r="AP1" s="53">
        <v>42</v>
      </c>
      <c r="AR1" s="53">
        <v>44</v>
      </c>
      <c r="AS1" s="52">
        <v>45</v>
      </c>
      <c r="AT1" s="53">
        <v>46</v>
      </c>
      <c r="AU1" s="52">
        <v>47</v>
      </c>
      <c r="AV1" s="53">
        <v>48</v>
      </c>
      <c r="AW1" s="52">
        <v>49</v>
      </c>
      <c r="AX1" s="53">
        <v>50</v>
      </c>
      <c r="AY1" s="52">
        <v>51</v>
      </c>
      <c r="AZ1" s="53">
        <v>52</v>
      </c>
      <c r="BA1" s="52">
        <v>53</v>
      </c>
      <c r="BB1" s="53">
        <v>54</v>
      </c>
      <c r="BC1" s="52">
        <v>55</v>
      </c>
      <c r="BD1" s="53">
        <v>56</v>
      </c>
      <c r="BE1" s="52">
        <v>57</v>
      </c>
      <c r="BF1" s="53">
        <v>58</v>
      </c>
      <c r="BG1" s="53">
        <v>60</v>
      </c>
      <c r="BH1" s="52">
        <v>61</v>
      </c>
      <c r="BI1" s="53">
        <v>62</v>
      </c>
      <c r="BJ1" s="52">
        <v>63</v>
      </c>
      <c r="BK1" s="53">
        <v>64</v>
      </c>
      <c r="BL1" s="52">
        <v>65</v>
      </c>
      <c r="BM1" s="52">
        <v>67</v>
      </c>
      <c r="BN1" s="53">
        <v>68</v>
      </c>
      <c r="BO1" s="52">
        <v>69</v>
      </c>
      <c r="BP1" s="53">
        <v>70</v>
      </c>
      <c r="BQ1" s="52">
        <v>71</v>
      </c>
      <c r="BR1" s="53">
        <v>72</v>
      </c>
    </row>
    <row r="2" spans="1:70" s="136" customFormat="1" ht="29.4" customHeight="1" x14ac:dyDescent="0.6">
      <c r="B2" s="135" t="s">
        <v>256</v>
      </c>
      <c r="C2" s="137"/>
      <c r="D2" s="62"/>
      <c r="E2" s="137"/>
      <c r="F2" s="138"/>
      <c r="G2" s="138" t="s">
        <v>262</v>
      </c>
      <c r="H2" s="138"/>
      <c r="I2" s="137"/>
      <c r="J2" s="62"/>
      <c r="K2" s="139" t="s">
        <v>263</v>
      </c>
      <c r="L2" s="62"/>
      <c r="M2" s="62"/>
      <c r="N2" s="62"/>
      <c r="O2" s="62"/>
      <c r="P2" s="138"/>
      <c r="Q2" s="138"/>
      <c r="R2" s="158" t="s">
        <v>261</v>
      </c>
      <c r="S2" s="62"/>
      <c r="T2" s="62"/>
      <c r="U2" s="138"/>
      <c r="V2" s="62"/>
      <c r="W2" s="62"/>
      <c r="X2" s="63"/>
      <c r="Z2" s="135" t="s">
        <v>265</v>
      </c>
      <c r="AA2" s="62"/>
      <c r="AB2" s="62"/>
      <c r="AC2" s="62"/>
      <c r="AD2" s="62"/>
      <c r="AE2" s="62"/>
      <c r="AF2" s="62"/>
      <c r="AG2" s="63"/>
      <c r="AI2" s="135" t="s">
        <v>265</v>
      </c>
      <c r="AJ2" s="62"/>
      <c r="AK2" s="62"/>
      <c r="AL2" s="62"/>
      <c r="AM2" s="62"/>
      <c r="AN2" s="62"/>
      <c r="AO2" s="62"/>
      <c r="AP2" s="62"/>
      <c r="AQ2" s="62"/>
      <c r="AR2" s="462"/>
      <c r="AT2" s="135" t="s">
        <v>265</v>
      </c>
      <c r="AU2" s="62"/>
      <c r="AV2" s="62"/>
      <c r="AW2" s="62"/>
      <c r="AX2" s="62"/>
      <c r="AY2" s="462"/>
      <c r="BA2" s="163" t="s">
        <v>271</v>
      </c>
      <c r="BB2" s="162"/>
      <c r="BC2" s="162"/>
      <c r="BD2" s="162"/>
      <c r="BE2" s="62"/>
      <c r="BF2" s="63"/>
      <c r="BG2" s="161" t="s">
        <v>269</v>
      </c>
      <c r="BH2" s="162"/>
      <c r="BI2" s="162"/>
      <c r="BJ2" s="62"/>
      <c r="BK2" s="62"/>
      <c r="BL2" s="63"/>
      <c r="BM2" s="161" t="s">
        <v>270</v>
      </c>
      <c r="BN2" s="162"/>
      <c r="BO2" s="162"/>
      <c r="BP2" s="62"/>
      <c r="BQ2" s="62"/>
      <c r="BR2" s="63"/>
    </row>
    <row r="3" spans="1:70" s="152" customFormat="1" ht="19.5" customHeight="1" x14ac:dyDescent="0.6">
      <c r="B3" s="142" t="s">
        <v>257</v>
      </c>
      <c r="C3" s="143"/>
      <c r="D3" s="144" t="s">
        <v>260</v>
      </c>
      <c r="E3" s="145"/>
      <c r="F3" s="143"/>
      <c r="G3" s="143" t="s">
        <v>264</v>
      </c>
      <c r="H3" s="144" t="s">
        <v>260</v>
      </c>
      <c r="I3" s="144"/>
      <c r="J3" s="144"/>
      <c r="K3" s="146" t="s">
        <v>142</v>
      </c>
      <c r="L3" s="140" t="s">
        <v>177</v>
      </c>
      <c r="M3" s="144"/>
      <c r="N3" s="146" t="s">
        <v>147</v>
      </c>
      <c r="O3" s="140">
        <v>1</v>
      </c>
      <c r="P3" s="143"/>
      <c r="Q3" s="143"/>
      <c r="R3" s="146" t="s">
        <v>127</v>
      </c>
      <c r="S3" s="140">
        <v>50</v>
      </c>
      <c r="T3" s="146" t="s">
        <v>41</v>
      </c>
      <c r="U3" s="146" t="s">
        <v>33</v>
      </c>
      <c r="V3" s="140">
        <v>5</v>
      </c>
      <c r="W3" s="159" t="s">
        <v>42</v>
      </c>
      <c r="X3" s="147"/>
      <c r="Z3" s="142" t="s">
        <v>266</v>
      </c>
      <c r="AA3" s="153"/>
      <c r="AB3" s="153"/>
      <c r="AC3" s="153"/>
      <c r="AD3" s="153"/>
      <c r="AE3" s="153"/>
      <c r="AF3" s="153"/>
      <c r="AG3" s="147"/>
      <c r="AI3" s="142" t="s">
        <v>266</v>
      </c>
      <c r="AJ3" s="153"/>
      <c r="AK3" s="153"/>
      <c r="AL3" s="153"/>
      <c r="AM3" s="153"/>
      <c r="AN3" s="153"/>
      <c r="AO3" s="153"/>
      <c r="AP3" s="153"/>
      <c r="AQ3" s="153"/>
      <c r="AR3" s="463"/>
      <c r="AT3" s="142" t="s">
        <v>277</v>
      </c>
      <c r="AU3" s="153"/>
      <c r="AV3" s="153"/>
      <c r="AW3" s="153"/>
      <c r="AX3" s="153"/>
      <c r="AY3" s="463"/>
      <c r="BA3" s="154" t="s">
        <v>267</v>
      </c>
      <c r="BB3" s="140">
        <v>0.9</v>
      </c>
      <c r="BC3" s="153"/>
      <c r="BD3" s="153"/>
      <c r="BE3" s="153"/>
      <c r="BF3" s="147"/>
      <c r="BG3" s="160" t="s">
        <v>267</v>
      </c>
      <c r="BH3" s="140" t="s">
        <v>170</v>
      </c>
      <c r="BI3" s="153"/>
      <c r="BJ3" s="153"/>
      <c r="BK3" s="153"/>
      <c r="BL3" s="147"/>
      <c r="BM3" s="160" t="s">
        <v>267</v>
      </c>
      <c r="BN3" s="140">
        <v>0.3</v>
      </c>
      <c r="BO3" s="159" t="s">
        <v>40</v>
      </c>
      <c r="BP3" s="153"/>
      <c r="BQ3" s="153"/>
      <c r="BR3" s="147"/>
    </row>
    <row r="4" spans="1:70" s="152" customFormat="1" ht="19.5" customHeight="1" x14ac:dyDescent="0.6">
      <c r="B4" s="142" t="s">
        <v>258</v>
      </c>
      <c r="C4" s="143"/>
      <c r="D4" s="144" t="s">
        <v>259</v>
      </c>
      <c r="E4" s="145"/>
      <c r="F4" s="143"/>
      <c r="G4" s="143" t="s">
        <v>24</v>
      </c>
      <c r="H4" s="144" t="s">
        <v>46</v>
      </c>
      <c r="I4" s="144"/>
      <c r="J4" s="144"/>
      <c r="K4" s="146" t="s">
        <v>121</v>
      </c>
      <c r="L4" s="141" t="s">
        <v>136</v>
      </c>
      <c r="M4" s="144"/>
      <c r="N4" s="146" t="s">
        <v>148</v>
      </c>
      <c r="O4" s="140" t="s">
        <v>171</v>
      </c>
      <c r="P4" s="143"/>
      <c r="Q4" s="143"/>
      <c r="R4" s="146" t="s">
        <v>128</v>
      </c>
      <c r="S4" s="140">
        <v>20</v>
      </c>
      <c r="T4" s="146" t="s">
        <v>43</v>
      </c>
      <c r="U4" s="143"/>
      <c r="V4" s="146"/>
      <c r="W4" s="153"/>
      <c r="X4" s="147"/>
      <c r="Z4" s="142" t="s">
        <v>275</v>
      </c>
      <c r="AA4" s="153"/>
      <c r="AB4" s="153"/>
      <c r="AC4" s="153"/>
      <c r="AD4" s="153"/>
      <c r="AE4" s="153"/>
      <c r="AF4" s="153"/>
      <c r="AG4" s="147"/>
      <c r="AI4" s="142" t="s">
        <v>276</v>
      </c>
      <c r="AJ4" s="153"/>
      <c r="AK4" s="153"/>
      <c r="AL4" s="153"/>
      <c r="AM4" s="153"/>
      <c r="AN4" s="153"/>
      <c r="AO4" s="153"/>
      <c r="AP4" s="153"/>
      <c r="AQ4" s="153"/>
      <c r="AR4" s="464"/>
      <c r="AT4" s="142" t="s">
        <v>278</v>
      </c>
      <c r="AU4" s="153"/>
      <c r="AV4" s="153"/>
      <c r="AW4" s="153"/>
      <c r="AX4" s="153"/>
      <c r="AY4" s="464"/>
      <c r="BA4" s="154" t="s">
        <v>268</v>
      </c>
      <c r="BB4" s="140">
        <v>0.8</v>
      </c>
      <c r="BC4" s="153"/>
      <c r="BD4" s="153"/>
      <c r="BE4" s="153"/>
      <c r="BF4" s="147"/>
      <c r="BG4" s="160" t="s">
        <v>268</v>
      </c>
      <c r="BH4" s="140" t="s">
        <v>248</v>
      </c>
      <c r="BI4" s="153"/>
      <c r="BJ4" s="153"/>
      <c r="BK4" s="153"/>
      <c r="BL4" s="147"/>
      <c r="BM4" s="160" t="s">
        <v>268</v>
      </c>
      <c r="BN4" s="140">
        <v>0.5</v>
      </c>
      <c r="BO4" s="159" t="s">
        <v>40</v>
      </c>
      <c r="BP4" s="153"/>
      <c r="BQ4" s="153"/>
      <c r="BR4" s="147"/>
    </row>
    <row r="5" spans="1:70" s="152" customFormat="1" ht="19.5" customHeight="1" x14ac:dyDescent="0.6">
      <c r="B5" s="148"/>
      <c r="C5" s="149"/>
      <c r="D5" s="485"/>
      <c r="E5" s="485"/>
      <c r="F5" s="149"/>
      <c r="G5" s="149"/>
      <c r="H5" s="149"/>
      <c r="I5" s="150"/>
      <c r="J5" s="150"/>
      <c r="K5" s="150"/>
      <c r="L5" s="149"/>
      <c r="M5" s="149"/>
      <c r="N5" s="149"/>
      <c r="O5" s="149"/>
      <c r="P5" s="149"/>
      <c r="Q5" s="149"/>
      <c r="R5" s="149"/>
      <c r="S5" s="149"/>
      <c r="T5" s="149"/>
      <c r="U5" s="149"/>
      <c r="V5" s="149"/>
      <c r="W5" s="156"/>
      <c r="X5" s="151"/>
      <c r="Z5" s="155"/>
      <c r="AA5" s="156"/>
      <c r="AB5" s="156"/>
      <c r="AC5" s="156"/>
      <c r="AD5" s="156"/>
      <c r="AE5" s="156"/>
      <c r="AF5" s="156"/>
      <c r="AG5" s="151"/>
      <c r="AI5" s="155"/>
      <c r="AJ5" s="156"/>
      <c r="AK5" s="156"/>
      <c r="AL5" s="156"/>
      <c r="AM5" s="156"/>
      <c r="AN5" s="156"/>
      <c r="AO5" s="156"/>
      <c r="AP5" s="156"/>
      <c r="AQ5" s="156"/>
      <c r="AR5" s="465"/>
      <c r="AT5" s="155"/>
      <c r="AU5" s="156"/>
      <c r="AV5" s="156"/>
      <c r="AW5" s="156"/>
      <c r="AX5" s="156"/>
      <c r="AY5" s="465"/>
      <c r="BA5" s="155"/>
      <c r="BB5" s="156"/>
      <c r="BC5" s="156"/>
      <c r="BD5" s="156"/>
      <c r="BE5" s="156"/>
      <c r="BF5" s="151"/>
      <c r="BG5" s="156"/>
      <c r="BH5" s="156"/>
      <c r="BI5" s="156"/>
      <c r="BJ5" s="156"/>
      <c r="BK5" s="156"/>
      <c r="BL5" s="151"/>
      <c r="BM5" s="156"/>
      <c r="BN5" s="156"/>
      <c r="BO5" s="156"/>
      <c r="BP5" s="156"/>
      <c r="BQ5" s="156"/>
      <c r="BR5" s="151"/>
    </row>
    <row r="6" spans="1:70" ht="9.9" customHeight="1" x14ac:dyDescent="0.6">
      <c r="B6" s="60"/>
      <c r="C6" s="16"/>
      <c r="D6" s="18"/>
      <c r="E6" s="18"/>
      <c r="F6" s="18"/>
      <c r="G6" s="18"/>
      <c r="H6" s="18"/>
      <c r="I6" s="18"/>
      <c r="J6" s="18"/>
      <c r="K6" s="16"/>
      <c r="L6" s="16"/>
      <c r="M6" s="18"/>
      <c r="N6" s="16"/>
      <c r="O6" s="16"/>
      <c r="AG6" s="51"/>
      <c r="AR6" s="51"/>
      <c r="AY6" s="17"/>
    </row>
    <row r="7" spans="1:70" s="8" customFormat="1" ht="19.5" customHeight="1" x14ac:dyDescent="0.6">
      <c r="B7" s="486" t="s">
        <v>119</v>
      </c>
      <c r="C7" s="484"/>
      <c r="D7" s="484"/>
      <c r="E7" s="484"/>
      <c r="F7" s="484"/>
      <c r="G7" s="484" t="s">
        <v>19</v>
      </c>
      <c r="H7" s="484"/>
      <c r="I7" s="484" t="s">
        <v>120</v>
      </c>
      <c r="J7" s="484"/>
      <c r="K7" s="484"/>
      <c r="L7" s="484"/>
      <c r="M7" s="484" t="s">
        <v>121</v>
      </c>
      <c r="N7" s="484"/>
      <c r="O7" s="484"/>
      <c r="P7" s="484"/>
      <c r="Q7" s="484" t="s">
        <v>21</v>
      </c>
      <c r="R7" s="484"/>
      <c r="S7" s="484"/>
      <c r="T7" s="484"/>
      <c r="U7" s="484" t="s">
        <v>122</v>
      </c>
      <c r="V7" s="484"/>
      <c r="W7" s="484"/>
      <c r="X7" s="487"/>
      <c r="Z7" s="64"/>
      <c r="AA7" s="65"/>
      <c r="AB7" s="65"/>
      <c r="AC7" s="65"/>
      <c r="AD7" s="65"/>
      <c r="AE7" s="65"/>
      <c r="AF7" s="65"/>
      <c r="AG7" s="98" t="s">
        <v>123</v>
      </c>
      <c r="AH7" s="21"/>
      <c r="AI7" s="66"/>
      <c r="AJ7" s="67"/>
      <c r="AK7" s="67"/>
      <c r="AL7" s="67"/>
      <c r="AM7" s="67"/>
      <c r="AN7" s="67"/>
      <c r="AO7" s="67"/>
      <c r="AP7" s="67"/>
      <c r="AQ7" s="65"/>
      <c r="AR7" s="98" t="s">
        <v>137</v>
      </c>
      <c r="AS7" s="21"/>
      <c r="AT7" s="66"/>
      <c r="AU7" s="67"/>
      <c r="AV7" s="67"/>
      <c r="AW7" s="67"/>
      <c r="AX7" s="65"/>
      <c r="AY7" s="98" t="s">
        <v>138</v>
      </c>
      <c r="BA7" s="174" t="s">
        <v>139</v>
      </c>
      <c r="BB7" s="175"/>
      <c r="BC7" s="175"/>
      <c r="BD7" s="175"/>
      <c r="BE7" s="175"/>
      <c r="BF7" s="176"/>
      <c r="BG7" s="175" t="s">
        <v>140</v>
      </c>
      <c r="BH7" s="175"/>
      <c r="BI7" s="175"/>
      <c r="BJ7" s="175"/>
      <c r="BK7" s="175"/>
      <c r="BL7" s="176"/>
      <c r="BM7" s="175" t="s">
        <v>141</v>
      </c>
      <c r="BN7" s="175"/>
      <c r="BO7" s="175"/>
      <c r="BP7" s="175"/>
      <c r="BQ7" s="175"/>
      <c r="BR7" s="176"/>
    </row>
    <row r="8" spans="1:70" s="8" customFormat="1" ht="19.5" customHeight="1" x14ac:dyDescent="0.6">
      <c r="B8" s="54" t="s">
        <v>23</v>
      </c>
      <c r="C8" s="55" t="s">
        <v>24</v>
      </c>
      <c r="D8" s="55" t="s">
        <v>25</v>
      </c>
      <c r="E8" s="55" t="s">
        <v>26</v>
      </c>
      <c r="F8" s="55" t="s">
        <v>27</v>
      </c>
      <c r="G8" s="55" t="s">
        <v>28</v>
      </c>
      <c r="H8" s="55" t="s">
        <v>142</v>
      </c>
      <c r="I8" s="55" t="s">
        <v>143</v>
      </c>
      <c r="J8" s="55" t="s">
        <v>144</v>
      </c>
      <c r="K8" s="55" t="s">
        <v>145</v>
      </c>
      <c r="L8" s="55" t="s">
        <v>146</v>
      </c>
      <c r="M8" s="55" t="s">
        <v>121</v>
      </c>
      <c r="N8" s="55" t="s">
        <v>124</v>
      </c>
      <c r="O8" s="55" t="s">
        <v>125</v>
      </c>
      <c r="P8" s="55" t="s">
        <v>126</v>
      </c>
      <c r="Q8" s="55" t="s">
        <v>147</v>
      </c>
      <c r="R8" s="55" t="s">
        <v>148</v>
      </c>
      <c r="S8" s="55" t="s">
        <v>149</v>
      </c>
      <c r="T8" s="55" t="s">
        <v>150</v>
      </c>
      <c r="U8" s="55" t="s">
        <v>127</v>
      </c>
      <c r="V8" s="55" t="s">
        <v>33</v>
      </c>
      <c r="W8" s="55" t="s">
        <v>128</v>
      </c>
      <c r="X8" s="56" t="s">
        <v>129</v>
      </c>
      <c r="Z8" s="54" t="s">
        <v>130</v>
      </c>
      <c r="AA8" s="97" t="s">
        <v>151</v>
      </c>
      <c r="AB8" s="97" t="s">
        <v>152</v>
      </c>
      <c r="AC8" s="97" t="s">
        <v>153</v>
      </c>
      <c r="AD8" s="97" t="s">
        <v>154</v>
      </c>
      <c r="AE8" s="97" t="s">
        <v>131</v>
      </c>
      <c r="AF8" s="96"/>
      <c r="AG8" s="164" t="s">
        <v>273</v>
      </c>
      <c r="AI8" s="54" t="s">
        <v>155</v>
      </c>
      <c r="AJ8" s="97" t="s">
        <v>156</v>
      </c>
      <c r="AK8" s="97" t="s">
        <v>157</v>
      </c>
      <c r="AL8" s="97" t="s">
        <v>158</v>
      </c>
      <c r="AM8" s="97" t="s">
        <v>159</v>
      </c>
      <c r="AN8" s="97" t="s">
        <v>160</v>
      </c>
      <c r="AO8" s="97" t="s">
        <v>161</v>
      </c>
      <c r="AP8" s="97" t="s">
        <v>162</v>
      </c>
      <c r="AQ8" s="96"/>
      <c r="AR8" s="164" t="s">
        <v>272</v>
      </c>
      <c r="AT8" s="54" t="s">
        <v>155</v>
      </c>
      <c r="AU8" s="55" t="s">
        <v>156</v>
      </c>
      <c r="AV8" s="55" t="s">
        <v>157</v>
      </c>
      <c r="AW8" s="97" t="s">
        <v>158</v>
      </c>
      <c r="AX8" s="96"/>
      <c r="AY8" s="164" t="s">
        <v>274</v>
      </c>
      <c r="BA8" s="54" t="s">
        <v>163</v>
      </c>
      <c r="BB8" s="97" t="s">
        <v>164</v>
      </c>
      <c r="BC8" s="97" t="s">
        <v>165</v>
      </c>
      <c r="BD8" s="97" t="s">
        <v>166</v>
      </c>
      <c r="BE8" s="97" t="s">
        <v>167</v>
      </c>
      <c r="BF8" s="56" t="s">
        <v>168</v>
      </c>
      <c r="BG8" s="97" t="s">
        <v>163</v>
      </c>
      <c r="BH8" s="97" t="s">
        <v>164</v>
      </c>
      <c r="BI8" s="97" t="s">
        <v>165</v>
      </c>
      <c r="BJ8" s="97" t="s">
        <v>166</v>
      </c>
      <c r="BK8" s="97" t="s">
        <v>167</v>
      </c>
      <c r="BL8" s="56" t="s">
        <v>168</v>
      </c>
      <c r="BM8" s="97" t="s">
        <v>163</v>
      </c>
      <c r="BN8" s="97" t="s">
        <v>164</v>
      </c>
      <c r="BO8" s="97" t="s">
        <v>165</v>
      </c>
      <c r="BP8" s="97" t="s">
        <v>166</v>
      </c>
      <c r="BQ8" s="97" t="s">
        <v>167</v>
      </c>
      <c r="BR8" s="56" t="s">
        <v>168</v>
      </c>
    </row>
    <row r="9" spans="1:70" s="23" customFormat="1" ht="19.5" customHeight="1" x14ac:dyDescent="0.6">
      <c r="B9" s="57" t="s">
        <v>39</v>
      </c>
      <c r="C9" s="58" t="s">
        <v>39</v>
      </c>
      <c r="D9" s="58" t="s">
        <v>39</v>
      </c>
      <c r="E9" s="58" t="s">
        <v>39</v>
      </c>
      <c r="F9" s="58" t="s">
        <v>39</v>
      </c>
      <c r="G9" s="58" t="s">
        <v>39</v>
      </c>
      <c r="H9" s="58" t="s">
        <v>39</v>
      </c>
      <c r="I9" s="58" t="s">
        <v>132</v>
      </c>
      <c r="J9" s="58" t="s">
        <v>132</v>
      </c>
      <c r="K9" s="58" t="s">
        <v>132</v>
      </c>
      <c r="L9" s="58" t="s">
        <v>132</v>
      </c>
      <c r="M9" s="58" t="s">
        <v>39</v>
      </c>
      <c r="N9" s="58" t="s">
        <v>40</v>
      </c>
      <c r="O9" s="58" t="s">
        <v>40</v>
      </c>
      <c r="P9" s="58" t="s">
        <v>40</v>
      </c>
      <c r="Q9" s="58" t="s">
        <v>39</v>
      </c>
      <c r="R9" s="58" t="s">
        <v>39</v>
      </c>
      <c r="S9" s="58" t="s">
        <v>39</v>
      </c>
      <c r="T9" s="58" t="s">
        <v>39</v>
      </c>
      <c r="U9" s="58" t="s">
        <v>41</v>
      </c>
      <c r="V9" s="58" t="s">
        <v>42</v>
      </c>
      <c r="W9" s="58" t="s">
        <v>43</v>
      </c>
      <c r="X9" s="59" t="s">
        <v>43</v>
      </c>
      <c r="Z9" s="57" t="s">
        <v>39</v>
      </c>
      <c r="AA9" s="58" t="s">
        <v>39</v>
      </c>
      <c r="AB9" s="58" t="s">
        <v>39</v>
      </c>
      <c r="AC9" s="58" t="s">
        <v>133</v>
      </c>
      <c r="AD9" s="58" t="s">
        <v>134</v>
      </c>
      <c r="AE9" s="58" t="s">
        <v>134</v>
      </c>
      <c r="AF9" s="99"/>
      <c r="AG9" s="165" t="s">
        <v>135</v>
      </c>
      <c r="AI9" s="57" t="s">
        <v>133</v>
      </c>
      <c r="AJ9" s="58" t="s">
        <v>43</v>
      </c>
      <c r="AK9" s="58" t="s">
        <v>133</v>
      </c>
      <c r="AL9" s="58" t="s">
        <v>43</v>
      </c>
      <c r="AM9" s="58" t="s">
        <v>133</v>
      </c>
      <c r="AN9" s="58" t="s">
        <v>43</v>
      </c>
      <c r="AO9" s="58" t="s">
        <v>133</v>
      </c>
      <c r="AP9" s="58" t="s">
        <v>43</v>
      </c>
      <c r="AQ9" s="99"/>
      <c r="AR9" s="165" t="s">
        <v>135</v>
      </c>
      <c r="AT9" s="57" t="s">
        <v>133</v>
      </c>
      <c r="AU9" s="58" t="s">
        <v>43</v>
      </c>
      <c r="AV9" s="58" t="s">
        <v>133</v>
      </c>
      <c r="AW9" s="58" t="s">
        <v>43</v>
      </c>
      <c r="AX9" s="99"/>
      <c r="AY9" s="165" t="s">
        <v>135</v>
      </c>
      <c r="BA9" s="57" t="s">
        <v>39</v>
      </c>
      <c r="BB9" s="58" t="s">
        <v>39</v>
      </c>
      <c r="BC9" s="58" t="s">
        <v>39</v>
      </c>
      <c r="BD9" s="58" t="s">
        <v>39</v>
      </c>
      <c r="BE9" s="58" t="s">
        <v>39</v>
      </c>
      <c r="BF9" s="59" t="s">
        <v>39</v>
      </c>
      <c r="BG9" s="58" t="s">
        <v>39</v>
      </c>
      <c r="BH9" s="58" t="s">
        <v>39</v>
      </c>
      <c r="BI9" s="58" t="s">
        <v>39</v>
      </c>
      <c r="BJ9" s="58" t="s">
        <v>39</v>
      </c>
      <c r="BK9" s="58" t="s">
        <v>39</v>
      </c>
      <c r="BL9" s="59" t="s">
        <v>39</v>
      </c>
      <c r="BM9" s="58" t="s">
        <v>39</v>
      </c>
      <c r="BN9" s="58" t="s">
        <v>39</v>
      </c>
      <c r="BO9" s="58" t="s">
        <v>39</v>
      </c>
      <c r="BP9" s="58" t="s">
        <v>39</v>
      </c>
      <c r="BQ9" s="58" t="s">
        <v>39</v>
      </c>
      <c r="BR9" s="59" t="s">
        <v>39</v>
      </c>
    </row>
    <row r="10" spans="1:70" x14ac:dyDescent="0.6">
      <c r="B10" s="68" t="s">
        <v>45</v>
      </c>
      <c r="C10" s="69" t="s">
        <v>46</v>
      </c>
      <c r="D10" s="69" t="s">
        <v>47</v>
      </c>
      <c r="E10" s="69" t="s">
        <v>48</v>
      </c>
      <c r="F10" s="69" t="s">
        <v>49</v>
      </c>
      <c r="G10" s="69" t="s">
        <v>169</v>
      </c>
      <c r="H10" s="69" t="s">
        <v>177</v>
      </c>
      <c r="I10" s="70">
        <f>VLOOKUP(H10,'Listen und Kennwerte'!$B$4:$O$11,5,FALSE)</f>
        <v>24</v>
      </c>
      <c r="J10" s="70">
        <f>VLOOKUP(H10,'Listen und Kennwerte'!$B$4:$O$11,2,FALSE)</f>
        <v>24</v>
      </c>
      <c r="K10" s="71">
        <f>VLOOKUP(H10,'Listen und Kennwerte'!$B$4:$O$11,8,FALSE)</f>
        <v>11500</v>
      </c>
      <c r="L10" s="71">
        <f>VLOOKUP(H10,'Listen und Kennwerte'!$B$4:$O$11,9,FALSE)</f>
        <v>9600</v>
      </c>
      <c r="M10" s="69" t="s">
        <v>136</v>
      </c>
      <c r="N10" s="72">
        <v>4</v>
      </c>
      <c r="O10" s="72">
        <v>0.4</v>
      </c>
      <c r="P10" s="72">
        <v>0.4</v>
      </c>
      <c r="Q10" s="69">
        <v>1</v>
      </c>
      <c r="R10" s="69" t="s">
        <v>171</v>
      </c>
      <c r="S10" s="72">
        <v>0.6</v>
      </c>
      <c r="T10" s="72">
        <v>1.3</v>
      </c>
      <c r="U10" s="73">
        <v>4081.5297136929789</v>
      </c>
      <c r="V10" s="73">
        <v>5</v>
      </c>
      <c r="W10" s="73">
        <v>0</v>
      </c>
      <c r="X10" s="74">
        <v>0</v>
      </c>
      <c r="Z10" s="12">
        <v>34.64</v>
      </c>
      <c r="AA10" s="100">
        <v>0.56000000000000005</v>
      </c>
      <c r="AB10" s="100">
        <v>0.96</v>
      </c>
      <c r="AC10" s="101">
        <v>8</v>
      </c>
      <c r="AD10" s="102">
        <v>3061.15</v>
      </c>
      <c r="AE10" s="102">
        <v>25509.560710581114</v>
      </c>
      <c r="AF10" s="103"/>
      <c r="AG10" s="166">
        <v>5.77</v>
      </c>
      <c r="AI10" s="12">
        <v>8</v>
      </c>
      <c r="AJ10" s="101">
        <v>32.652237709543833</v>
      </c>
      <c r="AK10" s="101">
        <v>11.94</v>
      </c>
      <c r="AL10" s="101">
        <v>48.73</v>
      </c>
      <c r="AM10" s="101">
        <v>8</v>
      </c>
      <c r="AN10" s="101">
        <v>32.652237709543833</v>
      </c>
      <c r="AO10" s="101">
        <v>11.94</v>
      </c>
      <c r="AP10" s="101">
        <v>48.73</v>
      </c>
      <c r="AQ10" s="103"/>
      <c r="AR10" s="166">
        <v>3.21</v>
      </c>
      <c r="AT10" s="12">
        <v>8</v>
      </c>
      <c r="AU10" s="101">
        <v>32.652237709543833</v>
      </c>
      <c r="AV10" s="101">
        <v>10.938226326194988</v>
      </c>
      <c r="AW10" s="101">
        <v>44.644695765463631</v>
      </c>
      <c r="AX10" s="103"/>
      <c r="AY10" s="166">
        <v>3.1431879223139005</v>
      </c>
      <c r="AZ10" s="10"/>
      <c r="BA10" s="119">
        <v>5.77</v>
      </c>
      <c r="BB10" s="120">
        <v>7.39</v>
      </c>
      <c r="BC10" s="120">
        <v>4.29</v>
      </c>
      <c r="BD10" s="120">
        <v>1.8</v>
      </c>
      <c r="BE10" s="120">
        <v>1.03</v>
      </c>
      <c r="BF10" s="104" t="s">
        <v>255</v>
      </c>
      <c r="BG10" s="121" t="s">
        <v>173</v>
      </c>
      <c r="BH10" s="121" t="s">
        <v>170</v>
      </c>
      <c r="BI10" s="121"/>
      <c r="BJ10" s="121"/>
      <c r="BK10" s="121"/>
      <c r="BL10" s="122" t="s">
        <v>174</v>
      </c>
      <c r="BM10" s="121"/>
      <c r="BN10" s="121"/>
      <c r="BO10" s="121">
        <v>0.5</v>
      </c>
      <c r="BP10" s="121">
        <v>0.6</v>
      </c>
      <c r="BQ10" s="121">
        <v>0.7</v>
      </c>
      <c r="BR10" s="122"/>
    </row>
    <row r="11" spans="1:70" x14ac:dyDescent="0.6">
      <c r="B11" s="89" t="s">
        <v>50</v>
      </c>
      <c r="C11" s="90" t="s">
        <v>46</v>
      </c>
      <c r="D11" s="90" t="s">
        <v>47</v>
      </c>
      <c r="E11" s="90" t="s">
        <v>48</v>
      </c>
      <c r="F11" s="90" t="s">
        <v>49</v>
      </c>
      <c r="G11" s="90" t="s">
        <v>169</v>
      </c>
      <c r="H11" s="90" t="s">
        <v>177</v>
      </c>
      <c r="I11" s="91">
        <f>VLOOKUP(H11,'Listen und Kennwerte'!$B$4:$O$11,5,FALSE)</f>
        <v>24</v>
      </c>
      <c r="J11" s="91">
        <f>VLOOKUP(H11,'Listen und Kennwerte'!$B$4:$O$11,2,FALSE)</f>
        <v>24</v>
      </c>
      <c r="K11" s="92">
        <f>VLOOKUP(H11,'Listen und Kennwerte'!$B$4:$O$11,8,FALSE)</f>
        <v>11500</v>
      </c>
      <c r="L11" s="92">
        <f>VLOOKUP(H11,'Listen und Kennwerte'!$B$4:$O$11,9,FALSE)</f>
        <v>9600</v>
      </c>
      <c r="M11" s="90" t="s">
        <v>136</v>
      </c>
      <c r="N11" s="93">
        <v>8.3000000000000007</v>
      </c>
      <c r="O11" s="93">
        <v>0.6</v>
      </c>
      <c r="P11" s="93">
        <v>0.6</v>
      </c>
      <c r="Q11" s="90">
        <v>1</v>
      </c>
      <c r="R11" s="90" t="s">
        <v>171</v>
      </c>
      <c r="S11" s="93">
        <v>0.6</v>
      </c>
      <c r="T11" s="93">
        <v>1.3</v>
      </c>
      <c r="U11" s="94">
        <v>4816.2927530042525</v>
      </c>
      <c r="V11" s="94">
        <v>5</v>
      </c>
      <c r="W11" s="94">
        <v>0</v>
      </c>
      <c r="X11" s="95">
        <v>0</v>
      </c>
      <c r="Z11" s="113">
        <v>47.92</v>
      </c>
      <c r="AA11" s="114">
        <v>0.77</v>
      </c>
      <c r="AB11" s="114">
        <v>0.91</v>
      </c>
      <c r="AC11" s="115">
        <v>16.600000000000001</v>
      </c>
      <c r="AD11" s="116">
        <v>2220.85</v>
      </c>
      <c r="AE11" s="116">
        <v>13378.590980567369</v>
      </c>
      <c r="AF11" s="117"/>
      <c r="AG11" s="167">
        <v>1.79</v>
      </c>
      <c r="AI11" s="113">
        <v>16.600000000000001</v>
      </c>
      <c r="AJ11" s="115">
        <v>79.950459699870592</v>
      </c>
      <c r="AK11" s="115">
        <v>24.82</v>
      </c>
      <c r="AL11" s="115">
        <v>119.53</v>
      </c>
      <c r="AM11" s="115">
        <v>16.600000000000001</v>
      </c>
      <c r="AN11" s="115">
        <v>79.950459699870592</v>
      </c>
      <c r="AO11" s="115">
        <v>24.82</v>
      </c>
      <c r="AP11" s="115">
        <v>119.53</v>
      </c>
      <c r="AQ11" s="117"/>
      <c r="AR11" s="167">
        <v>1.93</v>
      </c>
      <c r="AT11" s="113">
        <v>16.600000000000001</v>
      </c>
      <c r="AU11" s="115">
        <v>79.950459699870592</v>
      </c>
      <c r="AV11" s="115">
        <v>22.76856289822814</v>
      </c>
      <c r="AW11" s="115">
        <v>109.66006448305768</v>
      </c>
      <c r="AX11" s="117"/>
      <c r="AY11" s="167">
        <v>1.8811145418797062</v>
      </c>
      <c r="AZ11" s="10"/>
      <c r="BA11" s="131">
        <v>1.93</v>
      </c>
      <c r="BB11" s="132">
        <v>2.2400000000000002</v>
      </c>
      <c r="BC11" s="132">
        <v>1.64</v>
      </c>
      <c r="BD11" s="132">
        <v>1.07</v>
      </c>
      <c r="BE11" s="132">
        <v>0.77</v>
      </c>
      <c r="BF11" s="118" t="s">
        <v>172</v>
      </c>
      <c r="BG11" s="133" t="s">
        <v>173</v>
      </c>
      <c r="BH11" s="133" t="s">
        <v>170</v>
      </c>
      <c r="BI11" s="133"/>
      <c r="BJ11" s="133"/>
      <c r="BK11" s="133"/>
      <c r="BL11" s="134" t="s">
        <v>174</v>
      </c>
      <c r="BM11" s="133"/>
      <c r="BN11" s="133"/>
      <c r="BO11" s="133">
        <v>0.7</v>
      </c>
      <c r="BP11" s="133">
        <v>0.8</v>
      </c>
      <c r="BQ11" s="133">
        <v>0.8</v>
      </c>
      <c r="BR11" s="134" t="s">
        <v>174</v>
      </c>
    </row>
    <row r="12" spans="1:70" x14ac:dyDescent="0.6">
      <c r="B12" s="75" t="s">
        <v>51</v>
      </c>
      <c r="C12" s="76" t="s">
        <v>46</v>
      </c>
      <c r="D12" s="76" t="s">
        <v>47</v>
      </c>
      <c r="E12" s="76" t="s">
        <v>48</v>
      </c>
      <c r="F12" s="76" t="s">
        <v>49</v>
      </c>
      <c r="G12" s="76" t="s">
        <v>169</v>
      </c>
      <c r="H12" s="76" t="s">
        <v>177</v>
      </c>
      <c r="I12" s="77">
        <f>VLOOKUP(H12,'Listen und Kennwerte'!$B$4:$O$11,5,FALSE)</f>
        <v>24</v>
      </c>
      <c r="J12" s="77">
        <f>VLOOKUP(H12,'Listen und Kennwerte'!$B$4:$O$11,2,FALSE)</f>
        <v>24</v>
      </c>
      <c r="K12" s="78">
        <f>VLOOKUP(H12,'Listen und Kennwerte'!$B$4:$O$11,8,FALSE)</f>
        <v>11500</v>
      </c>
      <c r="L12" s="78">
        <f>VLOOKUP(H12,'Listen und Kennwerte'!$B$4:$O$11,9,FALSE)</f>
        <v>9600</v>
      </c>
      <c r="M12" s="76" t="s">
        <v>136</v>
      </c>
      <c r="N12" s="79">
        <v>8.3000000000000007</v>
      </c>
      <c r="O12" s="79">
        <v>0.6</v>
      </c>
      <c r="P12" s="79">
        <v>0.6</v>
      </c>
      <c r="Q12" s="76">
        <v>1</v>
      </c>
      <c r="R12" s="76" t="s">
        <v>171</v>
      </c>
      <c r="S12" s="79">
        <v>0.6</v>
      </c>
      <c r="T12" s="79">
        <v>1.3</v>
      </c>
      <c r="U12" s="80">
        <v>2911.1849201337691</v>
      </c>
      <c r="V12" s="80">
        <v>5</v>
      </c>
      <c r="W12" s="80">
        <v>0</v>
      </c>
      <c r="X12" s="81">
        <v>0</v>
      </c>
      <c r="Z12" s="11">
        <v>47.92</v>
      </c>
      <c r="AA12" s="105">
        <v>0.77</v>
      </c>
      <c r="AB12" s="105">
        <v>0.91</v>
      </c>
      <c r="AC12" s="106">
        <v>16.600000000000001</v>
      </c>
      <c r="AD12" s="107">
        <v>1342.38</v>
      </c>
      <c r="AE12" s="107">
        <v>8086.6247781493585</v>
      </c>
      <c r="AF12" s="108"/>
      <c r="AG12" s="168">
        <v>0.74</v>
      </c>
      <c r="AI12" s="11">
        <v>16.600000000000001</v>
      </c>
      <c r="AJ12" s="106">
        <v>48.32566967422057</v>
      </c>
      <c r="AK12" s="106">
        <v>20.75</v>
      </c>
      <c r="AL12" s="106">
        <v>60.42</v>
      </c>
      <c r="AM12" s="106">
        <v>16.600000000000001</v>
      </c>
      <c r="AN12" s="106">
        <v>48.32566967422057</v>
      </c>
      <c r="AO12" s="106">
        <v>20.75</v>
      </c>
      <c r="AP12" s="106">
        <v>60.42</v>
      </c>
      <c r="AQ12" s="108"/>
      <c r="AR12" s="168">
        <v>1.1100000000000001</v>
      </c>
      <c r="AT12" s="11">
        <v>16.600000000000001</v>
      </c>
      <c r="AU12" s="106">
        <v>48.32566967422057</v>
      </c>
      <c r="AV12" s="106">
        <v>19.850671837382723</v>
      </c>
      <c r="AW12" s="106">
        <v>57.788976507512672</v>
      </c>
      <c r="AX12" s="108"/>
      <c r="AY12" s="168">
        <v>1.094426919545894</v>
      </c>
      <c r="AZ12" s="10"/>
      <c r="BA12" s="123">
        <v>1.1100000000000001</v>
      </c>
      <c r="BB12" s="124">
        <v>1.21</v>
      </c>
      <c r="BC12" s="124">
        <v>0.95</v>
      </c>
      <c r="BD12" s="124">
        <v>0.77</v>
      </c>
      <c r="BE12" s="124"/>
      <c r="BF12" s="109" t="s">
        <v>172</v>
      </c>
      <c r="BG12" s="125" t="s">
        <v>173</v>
      </c>
      <c r="BH12" s="125" t="s">
        <v>170</v>
      </c>
      <c r="BI12" s="125"/>
      <c r="BJ12" s="125"/>
      <c r="BK12" s="125"/>
      <c r="BL12" s="126" t="s">
        <v>174</v>
      </c>
      <c r="BM12" s="125"/>
      <c r="BN12" s="125"/>
      <c r="BO12" s="125">
        <v>0.65</v>
      </c>
      <c r="BP12" s="125"/>
      <c r="BQ12" s="125"/>
      <c r="BR12" s="126"/>
    </row>
    <row r="13" spans="1:70" x14ac:dyDescent="0.6">
      <c r="B13" s="89" t="s">
        <v>52</v>
      </c>
      <c r="C13" s="90" t="s">
        <v>46</v>
      </c>
      <c r="D13" s="90" t="s">
        <v>47</v>
      </c>
      <c r="E13" s="90" t="s">
        <v>48</v>
      </c>
      <c r="F13" s="90" t="s">
        <v>49</v>
      </c>
      <c r="G13" s="90" t="s">
        <v>169</v>
      </c>
      <c r="H13" s="90" t="s">
        <v>177</v>
      </c>
      <c r="I13" s="91">
        <f>VLOOKUP(H13,'Listen und Kennwerte'!$B$4:$O$11,5,FALSE)</f>
        <v>24</v>
      </c>
      <c r="J13" s="91">
        <f>VLOOKUP(H13,'Listen und Kennwerte'!$B$4:$O$11,2,FALSE)</f>
        <v>24</v>
      </c>
      <c r="K13" s="92">
        <f>VLOOKUP(H13,'Listen und Kennwerte'!$B$4:$O$11,8,FALSE)</f>
        <v>11500</v>
      </c>
      <c r="L13" s="92">
        <f>VLOOKUP(H13,'Listen und Kennwerte'!$B$4:$O$11,9,FALSE)</f>
        <v>9600</v>
      </c>
      <c r="M13" s="90" t="s">
        <v>136</v>
      </c>
      <c r="N13" s="93">
        <v>8.3000000000000007</v>
      </c>
      <c r="O13" s="93">
        <v>0.6</v>
      </c>
      <c r="P13" s="93">
        <v>0.6</v>
      </c>
      <c r="Q13" s="90">
        <v>1</v>
      </c>
      <c r="R13" s="90" t="s">
        <v>171</v>
      </c>
      <c r="S13" s="93">
        <v>0.6</v>
      </c>
      <c r="T13" s="93">
        <v>1.3</v>
      </c>
      <c r="U13" s="94">
        <v>2882.8379599134305</v>
      </c>
      <c r="V13" s="94">
        <v>5</v>
      </c>
      <c r="W13" s="94">
        <v>0</v>
      </c>
      <c r="X13" s="95">
        <v>0</v>
      </c>
      <c r="Z13" s="113">
        <v>47.92</v>
      </c>
      <c r="AA13" s="114">
        <v>0.77</v>
      </c>
      <c r="AB13" s="114">
        <v>0.91</v>
      </c>
      <c r="AC13" s="115">
        <v>16.600000000000001</v>
      </c>
      <c r="AD13" s="116">
        <v>1329.31</v>
      </c>
      <c r="AE13" s="116">
        <v>8007.8832219817514</v>
      </c>
      <c r="AF13" s="117"/>
      <c r="AG13" s="167">
        <v>0.72</v>
      </c>
      <c r="AI13" s="113">
        <v>16.600000000000001</v>
      </c>
      <c r="AJ13" s="115">
        <v>47.855110134562949</v>
      </c>
      <c r="AK13" s="115">
        <v>20.7</v>
      </c>
      <c r="AL13" s="115">
        <v>59.69</v>
      </c>
      <c r="AM13" s="115">
        <v>16.600000000000001</v>
      </c>
      <c r="AN13" s="115">
        <v>47.855110134562949</v>
      </c>
      <c r="AO13" s="115">
        <v>20.7</v>
      </c>
      <c r="AP13" s="115">
        <v>59.69</v>
      </c>
      <c r="AQ13" s="117"/>
      <c r="AR13" s="167">
        <v>1.1000000000000001</v>
      </c>
      <c r="AT13" s="113">
        <v>16.600000000000001</v>
      </c>
      <c r="AU13" s="115">
        <v>47.855110134562949</v>
      </c>
      <c r="AV13" s="115">
        <v>19.811946463069717</v>
      </c>
      <c r="AW13" s="115">
        <v>57.114631323510011</v>
      </c>
      <c r="AX13" s="117"/>
      <c r="AY13" s="167">
        <v>1.0832102839597686</v>
      </c>
      <c r="AZ13" s="10"/>
      <c r="BA13" s="131">
        <v>1.1000000000000001</v>
      </c>
      <c r="BB13" s="132">
        <v>1.19</v>
      </c>
      <c r="BC13" s="132">
        <v>0.94</v>
      </c>
      <c r="BD13" s="132">
        <v>0.76</v>
      </c>
      <c r="BE13" s="132"/>
      <c r="BF13" s="118" t="s">
        <v>172</v>
      </c>
      <c r="BG13" s="133" t="s">
        <v>173</v>
      </c>
      <c r="BH13" s="133" t="s">
        <v>170</v>
      </c>
      <c r="BI13" s="133"/>
      <c r="BJ13" s="133"/>
      <c r="BK13" s="133"/>
      <c r="BL13" s="134" t="s">
        <v>174</v>
      </c>
      <c r="BM13" s="133"/>
      <c r="BN13" s="133"/>
      <c r="BO13" s="133">
        <v>0.65</v>
      </c>
      <c r="BP13" s="133"/>
      <c r="BQ13" s="133"/>
      <c r="BR13" s="134"/>
    </row>
    <row r="14" spans="1:70" x14ac:dyDescent="0.6">
      <c r="B14" s="75" t="s">
        <v>53</v>
      </c>
      <c r="C14" s="76" t="s">
        <v>46</v>
      </c>
      <c r="D14" s="76" t="s">
        <v>47</v>
      </c>
      <c r="E14" s="76" t="s">
        <v>48</v>
      </c>
      <c r="F14" s="76" t="s">
        <v>49</v>
      </c>
      <c r="G14" s="76" t="s">
        <v>169</v>
      </c>
      <c r="H14" s="76" t="s">
        <v>177</v>
      </c>
      <c r="I14" s="77">
        <f>VLOOKUP(H14,'Listen und Kennwerte'!$B$4:$O$11,5,FALSE)</f>
        <v>24</v>
      </c>
      <c r="J14" s="77">
        <f>VLOOKUP(H14,'Listen und Kennwerte'!$B$4:$O$11,2,FALSE)</f>
        <v>24</v>
      </c>
      <c r="K14" s="78">
        <f>VLOOKUP(H14,'Listen und Kennwerte'!$B$4:$O$11,8,FALSE)</f>
        <v>11500</v>
      </c>
      <c r="L14" s="78">
        <f>VLOOKUP(H14,'Listen und Kennwerte'!$B$4:$O$11,9,FALSE)</f>
        <v>9600</v>
      </c>
      <c r="M14" s="76" t="s">
        <v>136</v>
      </c>
      <c r="N14" s="79">
        <v>8.3000000000000007</v>
      </c>
      <c r="O14" s="79">
        <v>0.6</v>
      </c>
      <c r="P14" s="79">
        <v>0.6</v>
      </c>
      <c r="Q14" s="76">
        <v>1</v>
      </c>
      <c r="R14" s="76" t="s">
        <v>171</v>
      </c>
      <c r="S14" s="79">
        <v>0.6</v>
      </c>
      <c r="T14" s="79">
        <v>1.3</v>
      </c>
      <c r="U14" s="80">
        <v>2929.6157570020541</v>
      </c>
      <c r="V14" s="80">
        <v>5</v>
      </c>
      <c r="W14" s="80">
        <v>0</v>
      </c>
      <c r="X14" s="81">
        <v>0</v>
      </c>
      <c r="Z14" s="11">
        <v>47.92</v>
      </c>
      <c r="AA14" s="105">
        <v>0.77</v>
      </c>
      <c r="AB14" s="105">
        <v>0.91</v>
      </c>
      <c r="AC14" s="106">
        <v>16.600000000000001</v>
      </c>
      <c r="AD14" s="107">
        <v>1350.88</v>
      </c>
      <c r="AE14" s="107">
        <v>8137.821547227928</v>
      </c>
      <c r="AF14" s="108"/>
      <c r="AG14" s="168">
        <v>0.74</v>
      </c>
      <c r="AI14" s="11">
        <v>16.600000000000001</v>
      </c>
      <c r="AJ14" s="106">
        <v>48.631621566234102</v>
      </c>
      <c r="AK14" s="106">
        <v>20.79</v>
      </c>
      <c r="AL14" s="106">
        <v>60.9</v>
      </c>
      <c r="AM14" s="106">
        <v>16.600000000000001</v>
      </c>
      <c r="AN14" s="106">
        <v>48.631621566234102</v>
      </c>
      <c r="AO14" s="106">
        <v>20.79</v>
      </c>
      <c r="AP14" s="106">
        <v>60.9</v>
      </c>
      <c r="AQ14" s="108"/>
      <c r="AR14" s="168">
        <v>1.1200000000000001</v>
      </c>
      <c r="AT14" s="11">
        <v>16.600000000000001</v>
      </c>
      <c r="AU14" s="106">
        <v>48.631621566234102</v>
      </c>
      <c r="AV14" s="106">
        <v>19.874765037394123</v>
      </c>
      <c r="AW14" s="106">
        <v>58.225424820263349</v>
      </c>
      <c r="AX14" s="108"/>
      <c r="AY14" s="168">
        <v>1.1017097917665013</v>
      </c>
      <c r="AZ14" s="10"/>
      <c r="BA14" s="123">
        <v>1.1200000000000001</v>
      </c>
      <c r="BB14" s="124">
        <v>1.21</v>
      </c>
      <c r="BC14" s="124">
        <v>0.95</v>
      </c>
      <c r="BD14" s="124">
        <v>0.77</v>
      </c>
      <c r="BE14" s="124"/>
      <c r="BF14" s="109" t="s">
        <v>172</v>
      </c>
      <c r="BG14" s="125" t="s">
        <v>173</v>
      </c>
      <c r="BH14" s="125" t="s">
        <v>170</v>
      </c>
      <c r="BI14" s="125"/>
      <c r="BJ14" s="125"/>
      <c r="BK14" s="125"/>
      <c r="BL14" s="126" t="s">
        <v>174</v>
      </c>
      <c r="BM14" s="125"/>
      <c r="BN14" s="125"/>
      <c r="BO14" s="125">
        <v>0.65</v>
      </c>
      <c r="BP14" s="125"/>
      <c r="BQ14" s="125"/>
      <c r="BR14" s="126"/>
    </row>
    <row r="15" spans="1:70" x14ac:dyDescent="0.6">
      <c r="B15" s="89" t="s">
        <v>54</v>
      </c>
      <c r="C15" s="90" t="s">
        <v>46</v>
      </c>
      <c r="D15" s="90" t="s">
        <v>55</v>
      </c>
      <c r="E15" s="90" t="s">
        <v>48</v>
      </c>
      <c r="F15" s="90" t="s">
        <v>49</v>
      </c>
      <c r="G15" s="90" t="s">
        <v>169</v>
      </c>
      <c r="H15" s="90" t="s">
        <v>177</v>
      </c>
      <c r="I15" s="91">
        <f>VLOOKUP(H15,'Listen und Kennwerte'!$B$4:$O$11,5,FALSE)</f>
        <v>24</v>
      </c>
      <c r="J15" s="91">
        <f>VLOOKUP(H15,'Listen und Kennwerte'!$B$4:$O$11,2,FALSE)</f>
        <v>24</v>
      </c>
      <c r="K15" s="92">
        <f>VLOOKUP(H15,'Listen und Kennwerte'!$B$4:$O$11,8,FALSE)</f>
        <v>11500</v>
      </c>
      <c r="L15" s="92">
        <f>VLOOKUP(H15,'Listen und Kennwerte'!$B$4:$O$11,9,FALSE)</f>
        <v>9600</v>
      </c>
      <c r="M15" s="90" t="s">
        <v>136</v>
      </c>
      <c r="N15" s="93">
        <v>4</v>
      </c>
      <c r="O15" s="93">
        <v>0.5</v>
      </c>
      <c r="P15" s="93">
        <v>0.5</v>
      </c>
      <c r="Q15" s="90">
        <v>1</v>
      </c>
      <c r="R15" s="90" t="s">
        <v>171</v>
      </c>
      <c r="S15" s="93">
        <v>0.6</v>
      </c>
      <c r="T15" s="93">
        <v>1.3</v>
      </c>
      <c r="U15" s="94">
        <v>3381.7611849060072</v>
      </c>
      <c r="V15" s="94">
        <v>5</v>
      </c>
      <c r="W15" s="94">
        <v>85.5</v>
      </c>
      <c r="X15" s="95">
        <v>0</v>
      </c>
      <c r="Z15" s="113">
        <v>27.71</v>
      </c>
      <c r="AA15" s="114">
        <v>0.45</v>
      </c>
      <c r="AB15" s="114">
        <v>0.98</v>
      </c>
      <c r="AC15" s="115">
        <v>8</v>
      </c>
      <c r="AD15" s="116">
        <v>5402.6</v>
      </c>
      <c r="AE15" s="116">
        <v>13527.044739624029</v>
      </c>
      <c r="AF15" s="117"/>
      <c r="AG15" s="167">
        <v>2.06</v>
      </c>
      <c r="AI15" s="113">
        <v>8</v>
      </c>
      <c r="AJ15" s="115">
        <v>112.55408947924806</v>
      </c>
      <c r="AK15" s="115">
        <v>12.2</v>
      </c>
      <c r="AL15" s="115">
        <v>126.75</v>
      </c>
      <c r="AM15" s="115">
        <v>8</v>
      </c>
      <c r="AN15" s="115">
        <v>27.054089479248059</v>
      </c>
      <c r="AO15" s="115">
        <v>12.2</v>
      </c>
      <c r="AP15" s="115">
        <v>41.25</v>
      </c>
      <c r="AQ15" s="117"/>
      <c r="AR15" s="167">
        <v>1.97</v>
      </c>
      <c r="AT15" s="113">
        <v>8</v>
      </c>
      <c r="AU15" s="115">
        <v>112.55408947924806</v>
      </c>
      <c r="AV15" s="115">
        <v>27.69929984706064</v>
      </c>
      <c r="AW15" s="115">
        <v>179.17241707186261</v>
      </c>
      <c r="AX15" s="117"/>
      <c r="AY15" s="167">
        <v>2.4256305132452862</v>
      </c>
      <c r="AZ15" s="10"/>
      <c r="BA15" s="131">
        <v>2.4300000000000002</v>
      </c>
      <c r="BB15" s="132">
        <v>2.6</v>
      </c>
      <c r="BC15" s="132">
        <v>2.02</v>
      </c>
      <c r="BD15" s="132">
        <v>1.1499999999999999</v>
      </c>
      <c r="BE15" s="132">
        <v>0.76</v>
      </c>
      <c r="BF15" s="118" t="s">
        <v>172</v>
      </c>
      <c r="BG15" s="133" t="s">
        <v>173</v>
      </c>
      <c r="BH15" s="133" t="s">
        <v>170</v>
      </c>
      <c r="BI15" s="133"/>
      <c r="BJ15" s="133"/>
      <c r="BK15" s="133"/>
      <c r="BL15" s="134" t="s">
        <v>174</v>
      </c>
      <c r="BM15" s="133"/>
      <c r="BN15" s="133"/>
      <c r="BO15" s="133">
        <v>0.6</v>
      </c>
      <c r="BP15" s="133">
        <v>0.7</v>
      </c>
      <c r="BQ15" s="133">
        <v>0.7</v>
      </c>
      <c r="BR15" s="134"/>
    </row>
    <row r="16" spans="1:70" x14ac:dyDescent="0.6">
      <c r="B16" s="75" t="s">
        <v>56</v>
      </c>
      <c r="C16" s="76" t="s">
        <v>46</v>
      </c>
      <c r="D16" s="76" t="s">
        <v>55</v>
      </c>
      <c r="E16" s="76" t="s">
        <v>48</v>
      </c>
      <c r="F16" s="76" t="s">
        <v>49</v>
      </c>
      <c r="G16" s="76" t="s">
        <v>169</v>
      </c>
      <c r="H16" s="76" t="s">
        <v>177</v>
      </c>
      <c r="I16" s="77">
        <f>VLOOKUP(H16,'Listen und Kennwerte'!$B$4:$O$11,5,FALSE)</f>
        <v>24</v>
      </c>
      <c r="J16" s="77">
        <f>VLOOKUP(H16,'Listen und Kennwerte'!$B$4:$O$11,2,FALSE)</f>
        <v>24</v>
      </c>
      <c r="K16" s="78">
        <f>VLOOKUP(H16,'Listen und Kennwerte'!$B$4:$O$11,8,FALSE)</f>
        <v>11500</v>
      </c>
      <c r="L16" s="78">
        <f>VLOOKUP(H16,'Listen und Kennwerte'!$B$4:$O$11,9,FALSE)</f>
        <v>9600</v>
      </c>
      <c r="M16" s="76" t="s">
        <v>136</v>
      </c>
      <c r="N16" s="79">
        <v>4</v>
      </c>
      <c r="O16" s="79">
        <v>0.5</v>
      </c>
      <c r="P16" s="79">
        <v>0.5</v>
      </c>
      <c r="Q16" s="76">
        <v>1</v>
      </c>
      <c r="R16" s="76" t="s">
        <v>171</v>
      </c>
      <c r="S16" s="79">
        <v>0.6</v>
      </c>
      <c r="T16" s="79">
        <v>1.3</v>
      </c>
      <c r="U16" s="80">
        <v>3431.2350132865922</v>
      </c>
      <c r="V16" s="80">
        <v>5</v>
      </c>
      <c r="W16" s="80">
        <v>85.5</v>
      </c>
      <c r="X16" s="81">
        <v>0</v>
      </c>
      <c r="Z16" s="11">
        <v>27.71</v>
      </c>
      <c r="AA16" s="105">
        <v>0.45</v>
      </c>
      <c r="AB16" s="105">
        <v>0.98</v>
      </c>
      <c r="AC16" s="106">
        <v>8</v>
      </c>
      <c r="AD16" s="107">
        <v>5421.59</v>
      </c>
      <c r="AE16" s="107">
        <v>13724.940053146369</v>
      </c>
      <c r="AF16" s="108"/>
      <c r="AG16" s="168">
        <v>2.1</v>
      </c>
      <c r="AI16" s="11">
        <v>8</v>
      </c>
      <c r="AJ16" s="106">
        <v>112.94988010629274</v>
      </c>
      <c r="AK16" s="106">
        <v>12.22</v>
      </c>
      <c r="AL16" s="106">
        <v>127.43</v>
      </c>
      <c r="AM16" s="106">
        <v>8</v>
      </c>
      <c r="AN16" s="106">
        <v>27.449880106292738</v>
      </c>
      <c r="AO16" s="106">
        <v>12.22</v>
      </c>
      <c r="AP16" s="106">
        <v>41.93</v>
      </c>
      <c r="AQ16" s="108"/>
      <c r="AR16" s="168">
        <v>2</v>
      </c>
      <c r="AT16" s="11">
        <v>8</v>
      </c>
      <c r="AU16" s="106">
        <v>112.94988010629274</v>
      </c>
      <c r="AV16" s="106">
        <v>27.737050983524018</v>
      </c>
      <c r="AW16" s="106">
        <v>180.67234049998299</v>
      </c>
      <c r="AX16" s="108"/>
      <c r="AY16" s="168">
        <v>2.4568188792043348</v>
      </c>
      <c r="AZ16" s="10"/>
      <c r="BA16" s="123">
        <v>2.46</v>
      </c>
      <c r="BB16" s="124">
        <v>2.63</v>
      </c>
      <c r="BC16" s="124">
        <v>2.0499999999999998</v>
      </c>
      <c r="BD16" s="124">
        <v>1.17</v>
      </c>
      <c r="BE16" s="124">
        <v>0.77</v>
      </c>
      <c r="BF16" s="109" t="s">
        <v>172</v>
      </c>
      <c r="BG16" s="125" t="s">
        <v>173</v>
      </c>
      <c r="BH16" s="125" t="s">
        <v>170</v>
      </c>
      <c r="BI16" s="125"/>
      <c r="BJ16" s="125"/>
      <c r="BK16" s="125"/>
      <c r="BL16" s="126" t="s">
        <v>174</v>
      </c>
      <c r="BM16" s="125"/>
      <c r="BN16" s="125"/>
      <c r="BO16" s="125">
        <v>0.6</v>
      </c>
      <c r="BP16" s="125">
        <v>0.7</v>
      </c>
      <c r="BQ16" s="125">
        <v>0.7</v>
      </c>
      <c r="BR16" s="126"/>
    </row>
    <row r="17" spans="2:70" x14ac:dyDescent="0.6">
      <c r="B17" s="89" t="s">
        <v>57</v>
      </c>
      <c r="C17" s="90" t="s">
        <v>46</v>
      </c>
      <c r="D17" s="90" t="s">
        <v>55</v>
      </c>
      <c r="E17" s="90" t="s">
        <v>48</v>
      </c>
      <c r="F17" s="90" t="s">
        <v>49</v>
      </c>
      <c r="G17" s="90" t="s">
        <v>169</v>
      </c>
      <c r="H17" s="90" t="s">
        <v>177</v>
      </c>
      <c r="I17" s="91">
        <f>VLOOKUP(H17,'Listen und Kennwerte'!$B$4:$O$11,5,FALSE)</f>
        <v>24</v>
      </c>
      <c r="J17" s="91">
        <f>VLOOKUP(H17,'Listen und Kennwerte'!$B$4:$O$11,2,FALSE)</f>
        <v>24</v>
      </c>
      <c r="K17" s="92">
        <f>VLOOKUP(H17,'Listen und Kennwerte'!$B$4:$O$11,8,FALSE)</f>
        <v>11500</v>
      </c>
      <c r="L17" s="92">
        <f>VLOOKUP(H17,'Listen und Kennwerte'!$B$4:$O$11,9,FALSE)</f>
        <v>9600</v>
      </c>
      <c r="M17" s="90" t="s">
        <v>136</v>
      </c>
      <c r="N17" s="93">
        <v>4</v>
      </c>
      <c r="O17" s="93">
        <v>0.5</v>
      </c>
      <c r="P17" s="93">
        <v>0.5</v>
      </c>
      <c r="Q17" s="90">
        <v>1</v>
      </c>
      <c r="R17" s="90" t="s">
        <v>171</v>
      </c>
      <c r="S17" s="93">
        <v>0.6</v>
      </c>
      <c r="T17" s="93">
        <v>1.3</v>
      </c>
      <c r="U17" s="94">
        <v>3656.3577695446043</v>
      </c>
      <c r="V17" s="94">
        <v>5</v>
      </c>
      <c r="W17" s="94">
        <v>112.5</v>
      </c>
      <c r="X17" s="95">
        <v>0</v>
      </c>
      <c r="Z17" s="113">
        <v>27.71</v>
      </c>
      <c r="AA17" s="114">
        <v>0.45</v>
      </c>
      <c r="AB17" s="114">
        <v>0.98</v>
      </c>
      <c r="AC17" s="115">
        <v>8</v>
      </c>
      <c r="AD17" s="116">
        <v>6804.04</v>
      </c>
      <c r="AE17" s="116">
        <v>14625.431078178417</v>
      </c>
      <c r="AF17" s="117"/>
      <c r="AG17" s="167">
        <v>2.44</v>
      </c>
      <c r="AI17" s="113">
        <v>8</v>
      </c>
      <c r="AJ17" s="115">
        <v>141.75086215635685</v>
      </c>
      <c r="AK17" s="115">
        <v>13.34</v>
      </c>
      <c r="AL17" s="115">
        <v>161.28</v>
      </c>
      <c r="AM17" s="115">
        <v>8</v>
      </c>
      <c r="AN17" s="115">
        <v>29.250862156356835</v>
      </c>
      <c r="AO17" s="115">
        <v>13.34</v>
      </c>
      <c r="AP17" s="115">
        <v>48.78</v>
      </c>
      <c r="AQ17" s="117"/>
      <c r="AR17" s="167">
        <v>2.25</v>
      </c>
      <c r="AT17" s="113">
        <v>8</v>
      </c>
      <c r="AU17" s="115">
        <v>141.75086215635685</v>
      </c>
      <c r="AV17" s="115">
        <v>33.955874261088091</v>
      </c>
      <c r="AW17" s="115">
        <v>236.65482467620907</v>
      </c>
      <c r="AX17" s="117"/>
      <c r="AY17" s="167">
        <v>2.9077666834912832</v>
      </c>
      <c r="AZ17" s="10"/>
      <c r="BA17" s="131">
        <v>2.91</v>
      </c>
      <c r="BB17" s="132">
        <v>3.09</v>
      </c>
      <c r="BC17" s="132">
        <v>2.41</v>
      </c>
      <c r="BD17" s="132">
        <v>1.33</v>
      </c>
      <c r="BE17" s="132">
        <v>0.87</v>
      </c>
      <c r="BF17" s="118" t="s">
        <v>255</v>
      </c>
      <c r="BG17" s="133" t="s">
        <v>173</v>
      </c>
      <c r="BH17" s="133" t="s">
        <v>170</v>
      </c>
      <c r="BI17" s="133"/>
      <c r="BJ17" s="133"/>
      <c r="BK17" s="133"/>
      <c r="BL17" s="134" t="s">
        <v>174</v>
      </c>
      <c r="BM17" s="133"/>
      <c r="BN17" s="133"/>
      <c r="BO17" s="133">
        <v>0.6</v>
      </c>
      <c r="BP17" s="133">
        <v>0.7</v>
      </c>
      <c r="BQ17" s="133">
        <v>0.75</v>
      </c>
      <c r="BR17" s="134"/>
    </row>
    <row r="18" spans="2:70" x14ac:dyDescent="0.6">
      <c r="B18" s="75" t="s">
        <v>58</v>
      </c>
      <c r="C18" s="76" t="s">
        <v>46</v>
      </c>
      <c r="D18" s="76" t="s">
        <v>55</v>
      </c>
      <c r="E18" s="76" t="s">
        <v>48</v>
      </c>
      <c r="F18" s="76" t="s">
        <v>49</v>
      </c>
      <c r="G18" s="76" t="s">
        <v>169</v>
      </c>
      <c r="H18" s="76" t="s">
        <v>177</v>
      </c>
      <c r="I18" s="77">
        <f>VLOOKUP(H18,'Listen und Kennwerte'!$B$4:$O$11,5,FALSE)</f>
        <v>24</v>
      </c>
      <c r="J18" s="77">
        <f>VLOOKUP(H18,'Listen und Kennwerte'!$B$4:$O$11,2,FALSE)</f>
        <v>24</v>
      </c>
      <c r="K18" s="78">
        <f>VLOOKUP(H18,'Listen und Kennwerte'!$B$4:$O$11,8,FALSE)</f>
        <v>11500</v>
      </c>
      <c r="L18" s="78">
        <f>VLOOKUP(H18,'Listen und Kennwerte'!$B$4:$O$11,9,FALSE)</f>
        <v>9600</v>
      </c>
      <c r="M18" s="76" t="s">
        <v>136</v>
      </c>
      <c r="N18" s="79">
        <v>4</v>
      </c>
      <c r="O18" s="79">
        <v>0.5</v>
      </c>
      <c r="P18" s="79">
        <v>0.5</v>
      </c>
      <c r="Q18" s="76">
        <v>1</v>
      </c>
      <c r="R18" s="76" t="s">
        <v>171</v>
      </c>
      <c r="S18" s="79">
        <v>0.6</v>
      </c>
      <c r="T18" s="79">
        <v>1.3</v>
      </c>
      <c r="U18" s="80">
        <v>3858.1106159734732</v>
      </c>
      <c r="V18" s="80">
        <v>5</v>
      </c>
      <c r="W18" s="80">
        <v>112.5</v>
      </c>
      <c r="X18" s="81">
        <v>0</v>
      </c>
      <c r="Z18" s="11">
        <v>27.71</v>
      </c>
      <c r="AA18" s="105">
        <v>0.45</v>
      </c>
      <c r="AB18" s="105">
        <v>0.98</v>
      </c>
      <c r="AC18" s="106">
        <v>8</v>
      </c>
      <c r="AD18" s="107">
        <v>6881.51</v>
      </c>
      <c r="AE18" s="107">
        <v>15432.442463893893</v>
      </c>
      <c r="AF18" s="108"/>
      <c r="AG18" s="168">
        <v>2.65</v>
      </c>
      <c r="AI18" s="11">
        <v>8</v>
      </c>
      <c r="AJ18" s="106">
        <v>143.36488492778778</v>
      </c>
      <c r="AK18" s="106">
        <v>13.44</v>
      </c>
      <c r="AL18" s="106">
        <v>164.36</v>
      </c>
      <c r="AM18" s="106">
        <v>8</v>
      </c>
      <c r="AN18" s="106">
        <v>30.864884927787784</v>
      </c>
      <c r="AO18" s="106">
        <v>13.44</v>
      </c>
      <c r="AP18" s="106">
        <v>51.86</v>
      </c>
      <c r="AQ18" s="108"/>
      <c r="AR18" s="168">
        <v>2.36</v>
      </c>
      <c r="AT18" s="11">
        <v>8</v>
      </c>
      <c r="AU18" s="106">
        <v>143.36488492778778</v>
      </c>
      <c r="AV18" s="106">
        <v>34.143907225453788</v>
      </c>
      <c r="AW18" s="106">
        <v>244.23097093733671</v>
      </c>
      <c r="AX18" s="108"/>
      <c r="AY18" s="168">
        <v>3.0476009562292452</v>
      </c>
      <c r="AZ18" s="10"/>
      <c r="BA18" s="123">
        <v>3.05</v>
      </c>
      <c r="BB18" s="124">
        <v>3.25</v>
      </c>
      <c r="BC18" s="124">
        <v>2.5299999999999998</v>
      </c>
      <c r="BD18" s="124">
        <v>1.39</v>
      </c>
      <c r="BE18" s="124">
        <v>0.91</v>
      </c>
      <c r="BF18" s="109" t="s">
        <v>255</v>
      </c>
      <c r="BG18" s="125" t="s">
        <v>173</v>
      </c>
      <c r="BH18" s="125" t="s">
        <v>170</v>
      </c>
      <c r="BI18" s="125"/>
      <c r="BJ18" s="125"/>
      <c r="BK18" s="125"/>
      <c r="BL18" s="126" t="s">
        <v>174</v>
      </c>
      <c r="BM18" s="125"/>
      <c r="BN18" s="125"/>
      <c r="BO18" s="125">
        <v>0.6</v>
      </c>
      <c r="BP18" s="125">
        <v>0.7</v>
      </c>
      <c r="BQ18" s="125">
        <v>0.75</v>
      </c>
      <c r="BR18" s="126"/>
    </row>
    <row r="19" spans="2:70" x14ac:dyDescent="0.6">
      <c r="B19" s="89" t="s">
        <v>59</v>
      </c>
      <c r="C19" s="90" t="s">
        <v>46</v>
      </c>
      <c r="D19" s="90" t="s">
        <v>55</v>
      </c>
      <c r="E19" s="90" t="s">
        <v>48</v>
      </c>
      <c r="F19" s="90" t="s">
        <v>49</v>
      </c>
      <c r="G19" s="90" t="s">
        <v>169</v>
      </c>
      <c r="H19" s="90" t="s">
        <v>177</v>
      </c>
      <c r="I19" s="91">
        <f>VLOOKUP(H19,'Listen und Kennwerte'!$B$4:$O$11,5,FALSE)</f>
        <v>24</v>
      </c>
      <c r="J19" s="91">
        <f>VLOOKUP(H19,'Listen und Kennwerte'!$B$4:$O$11,2,FALSE)</f>
        <v>24</v>
      </c>
      <c r="K19" s="92">
        <f>VLOOKUP(H19,'Listen und Kennwerte'!$B$4:$O$11,8,FALSE)</f>
        <v>11500</v>
      </c>
      <c r="L19" s="92">
        <f>VLOOKUP(H19,'Listen und Kennwerte'!$B$4:$O$11,9,FALSE)</f>
        <v>9600</v>
      </c>
      <c r="M19" s="90" t="s">
        <v>136</v>
      </c>
      <c r="N19" s="93">
        <v>4</v>
      </c>
      <c r="O19" s="93">
        <v>0.5</v>
      </c>
      <c r="P19" s="93">
        <v>0.5</v>
      </c>
      <c r="Q19" s="90">
        <v>1</v>
      </c>
      <c r="R19" s="90" t="s">
        <v>171</v>
      </c>
      <c r="S19" s="93">
        <v>0.6</v>
      </c>
      <c r="T19" s="93">
        <v>1.3</v>
      </c>
      <c r="U19" s="94">
        <v>3758.3704535007496</v>
      </c>
      <c r="V19" s="94">
        <v>5</v>
      </c>
      <c r="W19" s="94">
        <v>112.5</v>
      </c>
      <c r="X19" s="95">
        <v>0</v>
      </c>
      <c r="Z19" s="113">
        <v>27.71</v>
      </c>
      <c r="AA19" s="114">
        <v>0.45</v>
      </c>
      <c r="AB19" s="114">
        <v>0.98</v>
      </c>
      <c r="AC19" s="115">
        <v>8</v>
      </c>
      <c r="AD19" s="116">
        <v>6843.21</v>
      </c>
      <c r="AE19" s="116">
        <v>15033.481814002998</v>
      </c>
      <c r="AF19" s="117"/>
      <c r="AG19" s="167">
        <v>2.5499999999999998</v>
      </c>
      <c r="AI19" s="113">
        <v>8</v>
      </c>
      <c r="AJ19" s="115">
        <v>142.56696362800599</v>
      </c>
      <c r="AK19" s="115">
        <v>13.39</v>
      </c>
      <c r="AL19" s="115">
        <v>162.83000000000001</v>
      </c>
      <c r="AM19" s="115">
        <v>8</v>
      </c>
      <c r="AN19" s="115">
        <v>30.066963628005997</v>
      </c>
      <c r="AO19" s="115">
        <v>13.39</v>
      </c>
      <c r="AP19" s="115">
        <v>50.33</v>
      </c>
      <c r="AQ19" s="117"/>
      <c r="AR19" s="167">
        <v>2.31</v>
      </c>
      <c r="AT19" s="113">
        <v>8</v>
      </c>
      <c r="AU19" s="115">
        <v>142.56696362800599</v>
      </c>
      <c r="AV19" s="115">
        <v>34.050625782327174</v>
      </c>
      <c r="AW19" s="115">
        <v>240.47486586350931</v>
      </c>
      <c r="AX19" s="117"/>
      <c r="AY19" s="167">
        <v>2.9783786220757364</v>
      </c>
      <c r="AZ19" s="10"/>
      <c r="BA19" s="131">
        <v>2.98</v>
      </c>
      <c r="BB19" s="132">
        <v>3.17</v>
      </c>
      <c r="BC19" s="132">
        <v>2.4700000000000002</v>
      </c>
      <c r="BD19" s="132">
        <v>1.36</v>
      </c>
      <c r="BE19" s="132">
        <v>0.89</v>
      </c>
      <c r="BF19" s="118" t="s">
        <v>255</v>
      </c>
      <c r="BG19" s="133" t="s">
        <v>173</v>
      </c>
      <c r="BH19" s="133" t="s">
        <v>170</v>
      </c>
      <c r="BI19" s="133"/>
      <c r="BJ19" s="133"/>
      <c r="BK19" s="133"/>
      <c r="BL19" s="134" t="s">
        <v>174</v>
      </c>
      <c r="BM19" s="133"/>
      <c r="BN19" s="133"/>
      <c r="BO19" s="133">
        <v>0.6</v>
      </c>
      <c r="BP19" s="133">
        <v>0.7</v>
      </c>
      <c r="BQ19" s="133">
        <v>0.75</v>
      </c>
      <c r="BR19" s="134"/>
    </row>
    <row r="20" spans="2:70" x14ac:dyDescent="0.6">
      <c r="B20" s="75" t="s">
        <v>60</v>
      </c>
      <c r="C20" s="76" t="s">
        <v>46</v>
      </c>
      <c r="D20" s="76" t="s">
        <v>55</v>
      </c>
      <c r="E20" s="76" t="s">
        <v>48</v>
      </c>
      <c r="F20" s="76" t="s">
        <v>49</v>
      </c>
      <c r="G20" s="76" t="s">
        <v>169</v>
      </c>
      <c r="H20" s="76" t="s">
        <v>177</v>
      </c>
      <c r="I20" s="77">
        <f>VLOOKUP(H20,'Listen und Kennwerte'!$B$4:$O$11,5,FALSE)</f>
        <v>24</v>
      </c>
      <c r="J20" s="77">
        <f>VLOOKUP(H20,'Listen und Kennwerte'!$B$4:$O$11,2,FALSE)</f>
        <v>24</v>
      </c>
      <c r="K20" s="78">
        <f>VLOOKUP(H20,'Listen und Kennwerte'!$B$4:$O$11,8,FALSE)</f>
        <v>11500</v>
      </c>
      <c r="L20" s="78">
        <f>VLOOKUP(H20,'Listen und Kennwerte'!$B$4:$O$11,9,FALSE)</f>
        <v>9600</v>
      </c>
      <c r="M20" s="76" t="s">
        <v>136</v>
      </c>
      <c r="N20" s="79">
        <v>4</v>
      </c>
      <c r="O20" s="79">
        <v>0.5</v>
      </c>
      <c r="P20" s="79">
        <v>0.5</v>
      </c>
      <c r="Q20" s="76">
        <v>1</v>
      </c>
      <c r="R20" s="76" t="s">
        <v>171</v>
      </c>
      <c r="S20" s="79">
        <v>0.6</v>
      </c>
      <c r="T20" s="79">
        <v>1.3</v>
      </c>
      <c r="U20" s="80">
        <v>3900.0722323207851</v>
      </c>
      <c r="V20" s="80">
        <v>5</v>
      </c>
      <c r="W20" s="80">
        <v>85.5</v>
      </c>
      <c r="X20" s="81">
        <v>0</v>
      </c>
      <c r="Z20" s="11">
        <v>27.71</v>
      </c>
      <c r="AA20" s="105">
        <v>0.45</v>
      </c>
      <c r="AB20" s="105">
        <v>0.98</v>
      </c>
      <c r="AC20" s="106">
        <v>8</v>
      </c>
      <c r="AD20" s="107">
        <v>5601.63</v>
      </c>
      <c r="AE20" s="107">
        <v>15600.288929283141</v>
      </c>
      <c r="AF20" s="108"/>
      <c r="AG20" s="168">
        <v>2.58</v>
      </c>
      <c r="AI20" s="11">
        <v>8</v>
      </c>
      <c r="AJ20" s="106">
        <v>116.70057785856628</v>
      </c>
      <c r="AK20" s="106">
        <v>12.44</v>
      </c>
      <c r="AL20" s="106">
        <v>134.01</v>
      </c>
      <c r="AM20" s="106">
        <v>8</v>
      </c>
      <c r="AN20" s="106">
        <v>31.20057785856628</v>
      </c>
      <c r="AO20" s="106">
        <v>12.44</v>
      </c>
      <c r="AP20" s="106">
        <v>48.51</v>
      </c>
      <c r="AQ20" s="108"/>
      <c r="AR20" s="168">
        <v>2.2200000000000002</v>
      </c>
      <c r="AT20" s="11">
        <v>8</v>
      </c>
      <c r="AU20" s="106">
        <v>116.70057785856628</v>
      </c>
      <c r="AV20" s="106">
        <v>28.096556984580722</v>
      </c>
      <c r="AW20" s="106">
        <v>195.07860171938182</v>
      </c>
      <c r="AX20" s="108"/>
      <c r="AY20" s="168">
        <v>2.7540409247247402</v>
      </c>
      <c r="AZ20" s="10"/>
      <c r="BA20" s="123">
        <v>2.75</v>
      </c>
      <c r="BB20" s="124">
        <v>3.19</v>
      </c>
      <c r="BC20" s="124">
        <v>2.2999999999999998</v>
      </c>
      <c r="BD20" s="124">
        <v>1.3</v>
      </c>
      <c r="BE20" s="124">
        <v>0.86</v>
      </c>
      <c r="BF20" s="109" t="s">
        <v>255</v>
      </c>
      <c r="BG20" s="125" t="s">
        <v>173</v>
      </c>
      <c r="BH20" s="125" t="s">
        <v>170</v>
      </c>
      <c r="BI20" s="125"/>
      <c r="BJ20" s="125"/>
      <c r="BK20" s="125"/>
      <c r="BL20" s="126" t="s">
        <v>174</v>
      </c>
      <c r="BM20" s="125"/>
      <c r="BN20" s="125"/>
      <c r="BO20" s="125">
        <v>0.6</v>
      </c>
      <c r="BP20" s="125">
        <v>0.7</v>
      </c>
      <c r="BQ20" s="125">
        <v>0.75</v>
      </c>
      <c r="BR20" s="126"/>
    </row>
    <row r="21" spans="2:70" ht="18.3" customHeight="1" x14ac:dyDescent="0.6">
      <c r="B21" s="89" t="s">
        <v>61</v>
      </c>
      <c r="C21" s="90" t="s">
        <v>46</v>
      </c>
      <c r="D21" s="90" t="s">
        <v>55</v>
      </c>
      <c r="E21" s="90" t="s">
        <v>48</v>
      </c>
      <c r="F21" s="90" t="s">
        <v>49</v>
      </c>
      <c r="G21" s="90" t="s">
        <v>169</v>
      </c>
      <c r="H21" s="90" t="s">
        <v>177</v>
      </c>
      <c r="I21" s="91">
        <f>VLOOKUP(H21,'Listen und Kennwerte'!$B$4:$O$11,5,FALSE)</f>
        <v>24</v>
      </c>
      <c r="J21" s="91">
        <f>VLOOKUP(H21,'Listen und Kennwerte'!$B$4:$O$11,2,FALSE)</f>
        <v>24</v>
      </c>
      <c r="K21" s="92">
        <f>VLOOKUP(H21,'Listen und Kennwerte'!$B$4:$O$11,8,FALSE)</f>
        <v>11500</v>
      </c>
      <c r="L21" s="92">
        <f>VLOOKUP(H21,'Listen und Kennwerte'!$B$4:$O$11,9,FALSE)</f>
        <v>9600</v>
      </c>
      <c r="M21" s="90" t="s">
        <v>136</v>
      </c>
      <c r="N21" s="93">
        <v>4</v>
      </c>
      <c r="O21" s="93">
        <v>0.5</v>
      </c>
      <c r="P21" s="93">
        <v>0.5</v>
      </c>
      <c r="Q21" s="90">
        <v>1</v>
      </c>
      <c r="R21" s="90" t="s">
        <v>171</v>
      </c>
      <c r="S21" s="93">
        <v>0.6</v>
      </c>
      <c r="T21" s="93">
        <v>1.3</v>
      </c>
      <c r="U21" s="94">
        <v>2446.5977317600255</v>
      </c>
      <c r="V21" s="94">
        <v>5</v>
      </c>
      <c r="W21" s="94">
        <v>85.5</v>
      </c>
      <c r="X21" s="95">
        <v>85.5</v>
      </c>
      <c r="Z21" s="113">
        <v>27.71</v>
      </c>
      <c r="AA21" s="114">
        <v>0.45</v>
      </c>
      <c r="AB21" s="114">
        <v>0.98</v>
      </c>
      <c r="AC21" s="115">
        <v>8</v>
      </c>
      <c r="AD21" s="116">
        <v>5043.49</v>
      </c>
      <c r="AE21" s="116">
        <v>9786.3909270401018</v>
      </c>
      <c r="AF21" s="117"/>
      <c r="AG21" s="167">
        <v>1.54</v>
      </c>
      <c r="AI21" s="113">
        <v>8</v>
      </c>
      <c r="AJ21" s="115">
        <v>105.0727818540802</v>
      </c>
      <c r="AK21" s="115">
        <v>11.79</v>
      </c>
      <c r="AL21" s="115">
        <v>114.34</v>
      </c>
      <c r="AM21" s="115">
        <v>8</v>
      </c>
      <c r="AN21" s="115">
        <v>105.0727818540802</v>
      </c>
      <c r="AO21" s="115">
        <v>11.79</v>
      </c>
      <c r="AP21" s="115">
        <v>114.34</v>
      </c>
      <c r="AQ21" s="117"/>
      <c r="AR21" s="167">
        <v>1.89</v>
      </c>
      <c r="AT21" s="113">
        <v>8</v>
      </c>
      <c r="AU21" s="115">
        <v>105.0727818540802</v>
      </c>
      <c r="AV21" s="115">
        <v>27.011052706798377</v>
      </c>
      <c r="AW21" s="115">
        <v>151.58518028490332</v>
      </c>
      <c r="AX21" s="117"/>
      <c r="AY21" s="167">
        <v>2.2132287269383708</v>
      </c>
      <c r="AZ21" s="10"/>
      <c r="BA21" s="131">
        <v>2.21</v>
      </c>
      <c r="BB21" s="132">
        <v>2.34</v>
      </c>
      <c r="BC21" s="132">
        <v>1.86</v>
      </c>
      <c r="BD21" s="132">
        <v>1.07</v>
      </c>
      <c r="BE21" s="132">
        <v>0.7</v>
      </c>
      <c r="BF21" s="118" t="s">
        <v>172</v>
      </c>
      <c r="BG21" s="133" t="s">
        <v>173</v>
      </c>
      <c r="BH21" s="133" t="s">
        <v>170</v>
      </c>
      <c r="BI21" s="133"/>
      <c r="BJ21" s="133"/>
      <c r="BK21" s="133"/>
      <c r="BL21" s="134" t="s">
        <v>174</v>
      </c>
      <c r="BM21" s="133"/>
      <c r="BN21" s="133"/>
      <c r="BO21" s="133">
        <v>0.6</v>
      </c>
      <c r="BP21" s="133">
        <v>0.7</v>
      </c>
      <c r="BQ21" s="133">
        <v>0.7</v>
      </c>
      <c r="BR21" s="134"/>
    </row>
    <row r="22" spans="2:70" x14ac:dyDescent="0.6">
      <c r="B22" s="75" t="s">
        <v>62</v>
      </c>
      <c r="C22" s="76" t="s">
        <v>46</v>
      </c>
      <c r="D22" s="76" t="s">
        <v>47</v>
      </c>
      <c r="E22" s="76" t="s">
        <v>48</v>
      </c>
      <c r="F22" s="76" t="s">
        <v>49</v>
      </c>
      <c r="G22" s="76" t="s">
        <v>169</v>
      </c>
      <c r="H22" s="76" t="s">
        <v>177</v>
      </c>
      <c r="I22" s="77">
        <f>VLOOKUP(H22,'Listen und Kennwerte'!$B$4:$O$11,5,FALSE)</f>
        <v>24</v>
      </c>
      <c r="J22" s="77">
        <f>VLOOKUP(H22,'Listen und Kennwerte'!$B$4:$O$11,2,FALSE)</f>
        <v>24</v>
      </c>
      <c r="K22" s="78">
        <f>VLOOKUP(H22,'Listen und Kennwerte'!$B$4:$O$11,8,FALSE)</f>
        <v>11500</v>
      </c>
      <c r="L22" s="78">
        <f>VLOOKUP(H22,'Listen und Kennwerte'!$B$4:$O$11,9,FALSE)</f>
        <v>9600</v>
      </c>
      <c r="M22" s="76" t="s">
        <v>136</v>
      </c>
      <c r="N22" s="79">
        <v>7.8</v>
      </c>
      <c r="O22" s="79">
        <v>0.6</v>
      </c>
      <c r="P22" s="79">
        <v>0.6</v>
      </c>
      <c r="Q22" s="76">
        <v>1</v>
      </c>
      <c r="R22" s="76" t="s">
        <v>171</v>
      </c>
      <c r="S22" s="79">
        <v>0.6</v>
      </c>
      <c r="T22" s="79">
        <v>1.3</v>
      </c>
      <c r="U22" s="80">
        <v>3843.0822775939168</v>
      </c>
      <c r="V22" s="80">
        <v>5</v>
      </c>
      <c r="W22" s="80">
        <v>0</v>
      </c>
      <c r="X22" s="81">
        <v>0</v>
      </c>
      <c r="Z22" s="11">
        <v>45.03</v>
      </c>
      <c r="AA22" s="105">
        <v>0.72</v>
      </c>
      <c r="AB22" s="105">
        <v>0.92</v>
      </c>
      <c r="AC22" s="106">
        <v>15.6</v>
      </c>
      <c r="AD22" s="107">
        <v>1665.34</v>
      </c>
      <c r="AE22" s="107">
        <v>10675.228548871992</v>
      </c>
      <c r="AF22" s="108"/>
      <c r="AG22" s="168">
        <v>1.18</v>
      </c>
      <c r="AI22" s="11">
        <v>15.6</v>
      </c>
      <c r="AJ22" s="106">
        <v>59.952083530465103</v>
      </c>
      <c r="AK22" s="106">
        <v>20.350000000000001</v>
      </c>
      <c r="AL22" s="106">
        <v>78.2</v>
      </c>
      <c r="AM22" s="106">
        <v>15.6</v>
      </c>
      <c r="AN22" s="106">
        <v>59.952083530465103</v>
      </c>
      <c r="AO22" s="106">
        <v>20.350000000000001</v>
      </c>
      <c r="AP22" s="106">
        <v>78.2</v>
      </c>
      <c r="AQ22" s="108"/>
      <c r="AR22" s="168">
        <v>1.44</v>
      </c>
      <c r="AT22" s="11">
        <v>15.6</v>
      </c>
      <c r="AU22" s="106">
        <v>59.952083530465103</v>
      </c>
      <c r="AV22" s="106">
        <v>19.277888269363412</v>
      </c>
      <c r="AW22" s="106">
        <v>74.086510757426197</v>
      </c>
      <c r="AX22" s="108"/>
      <c r="AY22" s="168">
        <v>1.4146706478620217</v>
      </c>
      <c r="AZ22" s="10"/>
      <c r="BA22" s="123">
        <v>1.44</v>
      </c>
      <c r="BB22" s="124">
        <v>1.57</v>
      </c>
      <c r="BC22" s="124">
        <v>1.23</v>
      </c>
      <c r="BD22" s="124">
        <v>0.82</v>
      </c>
      <c r="BE22" s="124"/>
      <c r="BF22" s="109" t="s">
        <v>172</v>
      </c>
      <c r="BG22" s="125" t="s">
        <v>173</v>
      </c>
      <c r="BH22" s="125" t="s">
        <v>170</v>
      </c>
      <c r="BI22" s="125"/>
      <c r="BJ22" s="125"/>
      <c r="BK22" s="125"/>
      <c r="BL22" s="126" t="s">
        <v>174</v>
      </c>
      <c r="BM22" s="125"/>
      <c r="BN22" s="125"/>
      <c r="BO22" s="125">
        <v>0.7</v>
      </c>
      <c r="BP22" s="125"/>
      <c r="BQ22" s="125"/>
      <c r="BR22" s="126"/>
    </row>
    <row r="23" spans="2:70" x14ac:dyDescent="0.6">
      <c r="B23" s="89" t="s">
        <v>63</v>
      </c>
      <c r="C23" s="90" t="s">
        <v>46</v>
      </c>
      <c r="D23" s="90" t="s">
        <v>47</v>
      </c>
      <c r="E23" s="90" t="s">
        <v>48</v>
      </c>
      <c r="F23" s="90" t="s">
        <v>49</v>
      </c>
      <c r="G23" s="90" t="s">
        <v>169</v>
      </c>
      <c r="H23" s="90" t="s">
        <v>177</v>
      </c>
      <c r="I23" s="91">
        <f>VLOOKUP(H23,'Listen und Kennwerte'!$B$4:$O$11,5,FALSE)</f>
        <v>24</v>
      </c>
      <c r="J23" s="91">
        <f>VLOOKUP(H23,'Listen und Kennwerte'!$B$4:$O$11,2,FALSE)</f>
        <v>24</v>
      </c>
      <c r="K23" s="92">
        <f>VLOOKUP(H23,'Listen und Kennwerte'!$B$4:$O$11,8,FALSE)</f>
        <v>11500</v>
      </c>
      <c r="L23" s="92">
        <f>VLOOKUP(H23,'Listen und Kennwerte'!$B$4:$O$11,9,FALSE)</f>
        <v>9600</v>
      </c>
      <c r="M23" s="90" t="s">
        <v>136</v>
      </c>
      <c r="N23" s="93">
        <v>7.8</v>
      </c>
      <c r="O23" s="93">
        <v>0.6</v>
      </c>
      <c r="P23" s="93">
        <v>0.6</v>
      </c>
      <c r="Q23" s="90">
        <v>1</v>
      </c>
      <c r="R23" s="90" t="s">
        <v>171</v>
      </c>
      <c r="S23" s="93">
        <v>0.6</v>
      </c>
      <c r="T23" s="93">
        <v>1.3</v>
      </c>
      <c r="U23" s="94">
        <v>2880.8993286421955</v>
      </c>
      <c r="V23" s="94">
        <v>5</v>
      </c>
      <c r="W23" s="94">
        <v>0</v>
      </c>
      <c r="X23" s="95">
        <v>0</v>
      </c>
      <c r="Z23" s="113">
        <v>45.03</v>
      </c>
      <c r="AA23" s="114">
        <v>0.72</v>
      </c>
      <c r="AB23" s="114">
        <v>0.92</v>
      </c>
      <c r="AC23" s="115">
        <v>15.6</v>
      </c>
      <c r="AD23" s="116">
        <v>1248.3900000000001</v>
      </c>
      <c r="AE23" s="116">
        <v>8002.49813511721</v>
      </c>
      <c r="AF23" s="117"/>
      <c r="AG23" s="167">
        <v>0.71</v>
      </c>
      <c r="AI23" s="113">
        <v>15.6</v>
      </c>
      <c r="AJ23" s="115">
        <v>44.942029526818246</v>
      </c>
      <c r="AK23" s="115">
        <v>18.91</v>
      </c>
      <c r="AL23" s="115">
        <v>54.47</v>
      </c>
      <c r="AM23" s="115">
        <v>15.6</v>
      </c>
      <c r="AN23" s="115">
        <v>44.942029526818246</v>
      </c>
      <c r="AO23" s="115">
        <v>18.91</v>
      </c>
      <c r="AP23" s="115">
        <v>54.47</v>
      </c>
      <c r="AQ23" s="117"/>
      <c r="AR23" s="167">
        <v>1.06</v>
      </c>
      <c r="AT23" s="113">
        <v>15.6</v>
      </c>
      <c r="AU23" s="115">
        <v>44.942029526818246</v>
      </c>
      <c r="AV23" s="115">
        <v>18.202537060894834</v>
      </c>
      <c r="AW23" s="115">
        <v>52.439676798316597</v>
      </c>
      <c r="AX23" s="117"/>
      <c r="AY23" s="167">
        <v>1.0449453760159895</v>
      </c>
      <c r="AZ23" s="10"/>
      <c r="BA23" s="131">
        <v>1.06</v>
      </c>
      <c r="BB23" s="132">
        <v>1.1499999999999999</v>
      </c>
      <c r="BC23" s="132">
        <v>0.9</v>
      </c>
      <c r="BD23" s="132">
        <v>0.74</v>
      </c>
      <c r="BE23" s="132"/>
      <c r="BF23" s="118" t="s">
        <v>172</v>
      </c>
      <c r="BG23" s="133" t="s">
        <v>173</v>
      </c>
      <c r="BH23" s="133" t="s">
        <v>170</v>
      </c>
      <c r="BI23" s="133"/>
      <c r="BJ23" s="133"/>
      <c r="BK23" s="133"/>
      <c r="BL23" s="134" t="s">
        <v>174</v>
      </c>
      <c r="BM23" s="133"/>
      <c r="BN23" s="133"/>
      <c r="BO23" s="133">
        <v>0.65</v>
      </c>
      <c r="BP23" s="133"/>
      <c r="BQ23" s="133"/>
      <c r="BR23" s="134"/>
    </row>
    <row r="24" spans="2:70" x14ac:dyDescent="0.6">
      <c r="B24" s="75" t="s">
        <v>64</v>
      </c>
      <c r="C24" s="76" t="s">
        <v>46</v>
      </c>
      <c r="D24" s="76" t="s">
        <v>47</v>
      </c>
      <c r="E24" s="76" t="s">
        <v>48</v>
      </c>
      <c r="F24" s="76" t="s">
        <v>49</v>
      </c>
      <c r="G24" s="76" t="s">
        <v>169</v>
      </c>
      <c r="H24" s="76" t="s">
        <v>177</v>
      </c>
      <c r="I24" s="77">
        <f>VLOOKUP(H24,'Listen und Kennwerte'!$B$4:$O$11,5,FALSE)</f>
        <v>24</v>
      </c>
      <c r="J24" s="77">
        <f>VLOOKUP(H24,'Listen und Kennwerte'!$B$4:$O$11,2,FALSE)</f>
        <v>24</v>
      </c>
      <c r="K24" s="78">
        <f>VLOOKUP(H24,'Listen und Kennwerte'!$B$4:$O$11,8,FALSE)</f>
        <v>11500</v>
      </c>
      <c r="L24" s="78">
        <f>VLOOKUP(H24,'Listen und Kennwerte'!$B$4:$O$11,9,FALSE)</f>
        <v>9600</v>
      </c>
      <c r="M24" s="76" t="s">
        <v>136</v>
      </c>
      <c r="N24" s="79">
        <v>7.8</v>
      </c>
      <c r="O24" s="79">
        <v>0.6</v>
      </c>
      <c r="P24" s="79">
        <v>0.6</v>
      </c>
      <c r="Q24" s="76">
        <v>1</v>
      </c>
      <c r="R24" s="76" t="s">
        <v>171</v>
      </c>
      <c r="S24" s="79">
        <v>0.6</v>
      </c>
      <c r="T24" s="79">
        <v>1.3</v>
      </c>
      <c r="U24" s="80">
        <v>3084.8357585433182</v>
      </c>
      <c r="V24" s="80">
        <v>5</v>
      </c>
      <c r="W24" s="80">
        <v>0</v>
      </c>
      <c r="X24" s="81">
        <v>0</v>
      </c>
      <c r="Z24" s="11">
        <v>45.03</v>
      </c>
      <c r="AA24" s="105">
        <v>0.72</v>
      </c>
      <c r="AB24" s="105">
        <v>0.92</v>
      </c>
      <c r="AC24" s="106">
        <v>15.6</v>
      </c>
      <c r="AD24" s="107">
        <v>1336.76</v>
      </c>
      <c r="AE24" s="107">
        <v>8568.988218175884</v>
      </c>
      <c r="AF24" s="108"/>
      <c r="AG24" s="168">
        <v>0.8</v>
      </c>
      <c r="AI24" s="11">
        <v>15.6</v>
      </c>
      <c r="AJ24" s="106">
        <v>48.123437833275759</v>
      </c>
      <c r="AK24" s="106">
        <v>19.2</v>
      </c>
      <c r="AL24" s="106">
        <v>59.22</v>
      </c>
      <c r="AM24" s="106">
        <v>15.6</v>
      </c>
      <c r="AN24" s="106">
        <v>48.123437833275759</v>
      </c>
      <c r="AO24" s="106">
        <v>19.2</v>
      </c>
      <c r="AP24" s="106">
        <v>59.22</v>
      </c>
      <c r="AQ24" s="108"/>
      <c r="AR24" s="168">
        <v>1.1299999999999999</v>
      </c>
      <c r="AT24" s="11">
        <v>15.6</v>
      </c>
      <c r="AU24" s="106">
        <v>48.123437833275759</v>
      </c>
      <c r="AV24" s="106">
        <v>18.420215756358125</v>
      </c>
      <c r="AW24" s="106">
        <v>56.823340245296606</v>
      </c>
      <c r="AX24" s="108"/>
      <c r="AY24" s="168">
        <v>1.1222840543097581</v>
      </c>
      <c r="AZ24" s="10"/>
      <c r="BA24" s="123">
        <v>1.1299999999999999</v>
      </c>
      <c r="BB24" s="124">
        <v>1.24</v>
      </c>
      <c r="BC24" s="124">
        <v>0.97</v>
      </c>
      <c r="BD24" s="124">
        <v>0.79</v>
      </c>
      <c r="BE24" s="124"/>
      <c r="BF24" s="109" t="s">
        <v>172</v>
      </c>
      <c r="BG24" s="125" t="s">
        <v>173</v>
      </c>
      <c r="BH24" s="125" t="s">
        <v>170</v>
      </c>
      <c r="BI24" s="125"/>
      <c r="BJ24" s="125"/>
      <c r="BK24" s="125"/>
      <c r="BL24" s="126" t="s">
        <v>174</v>
      </c>
      <c r="BM24" s="125"/>
      <c r="BN24" s="125"/>
      <c r="BO24" s="125">
        <v>0.65</v>
      </c>
      <c r="BP24" s="125"/>
      <c r="BQ24" s="125"/>
      <c r="BR24" s="126"/>
    </row>
    <row r="25" spans="2:70" x14ac:dyDescent="0.6">
      <c r="B25" s="89" t="s">
        <v>65</v>
      </c>
      <c r="C25" s="90" t="s">
        <v>46</v>
      </c>
      <c r="D25" s="90" t="s">
        <v>47</v>
      </c>
      <c r="E25" s="90" t="s">
        <v>48</v>
      </c>
      <c r="F25" s="90" t="s">
        <v>49</v>
      </c>
      <c r="G25" s="90" t="s">
        <v>169</v>
      </c>
      <c r="H25" s="90" t="s">
        <v>177</v>
      </c>
      <c r="I25" s="91">
        <f>VLOOKUP(H25,'Listen und Kennwerte'!$B$4:$O$11,5,FALSE)</f>
        <v>24</v>
      </c>
      <c r="J25" s="91">
        <f>VLOOKUP(H25,'Listen und Kennwerte'!$B$4:$O$11,2,FALSE)</f>
        <v>24</v>
      </c>
      <c r="K25" s="92">
        <f>VLOOKUP(H25,'Listen und Kennwerte'!$B$4:$O$11,8,FALSE)</f>
        <v>11500</v>
      </c>
      <c r="L25" s="92">
        <f>VLOOKUP(H25,'Listen und Kennwerte'!$B$4:$O$11,9,FALSE)</f>
        <v>9600</v>
      </c>
      <c r="M25" s="90" t="s">
        <v>136</v>
      </c>
      <c r="N25" s="93">
        <v>7.8</v>
      </c>
      <c r="O25" s="93">
        <v>0.6</v>
      </c>
      <c r="P25" s="93">
        <v>0.6</v>
      </c>
      <c r="Q25" s="90">
        <v>1</v>
      </c>
      <c r="R25" s="90" t="s">
        <v>171</v>
      </c>
      <c r="S25" s="93">
        <v>0.6</v>
      </c>
      <c r="T25" s="93">
        <v>1.3</v>
      </c>
      <c r="U25" s="94">
        <v>2977.2685686019099</v>
      </c>
      <c r="V25" s="94">
        <v>5</v>
      </c>
      <c r="W25" s="94">
        <v>0</v>
      </c>
      <c r="X25" s="95">
        <v>0</v>
      </c>
      <c r="Z25" s="113">
        <v>45.03</v>
      </c>
      <c r="AA25" s="114">
        <v>0.72</v>
      </c>
      <c r="AB25" s="114">
        <v>0.92</v>
      </c>
      <c r="AC25" s="115">
        <v>15.6</v>
      </c>
      <c r="AD25" s="116">
        <v>1290.1500000000001</v>
      </c>
      <c r="AE25" s="116">
        <v>8270.1904683386383</v>
      </c>
      <c r="AF25" s="117"/>
      <c r="AG25" s="167">
        <v>0.75</v>
      </c>
      <c r="AI25" s="113">
        <v>15.6</v>
      </c>
      <c r="AJ25" s="115">
        <v>46.44538967018979</v>
      </c>
      <c r="AK25" s="115">
        <v>19.04</v>
      </c>
      <c r="AL25" s="115">
        <v>56.69</v>
      </c>
      <c r="AM25" s="115">
        <v>15.6</v>
      </c>
      <c r="AN25" s="115">
        <v>46.44538967018979</v>
      </c>
      <c r="AO25" s="115">
        <v>19.04</v>
      </c>
      <c r="AP25" s="115">
        <v>56.69</v>
      </c>
      <c r="AQ25" s="117"/>
      <c r="AR25" s="167">
        <v>1.0900000000000001</v>
      </c>
      <c r="AT25" s="113">
        <v>15.6</v>
      </c>
      <c r="AU25" s="115">
        <v>46.44538967018979</v>
      </c>
      <c r="AV25" s="115">
        <v>18.305285094637732</v>
      </c>
      <c r="AW25" s="115">
        <v>54.499749951561959</v>
      </c>
      <c r="AX25" s="117"/>
      <c r="AY25" s="167">
        <v>1.0814342073528658</v>
      </c>
      <c r="AZ25" s="10"/>
      <c r="BA25" s="131">
        <v>1.0900000000000001</v>
      </c>
      <c r="BB25" s="132">
        <v>1.19</v>
      </c>
      <c r="BC25" s="132">
        <v>0.93</v>
      </c>
      <c r="BD25" s="132">
        <v>0.76</v>
      </c>
      <c r="BE25" s="132"/>
      <c r="BF25" s="118" t="s">
        <v>172</v>
      </c>
      <c r="BG25" s="133" t="s">
        <v>173</v>
      </c>
      <c r="BH25" s="133" t="s">
        <v>170</v>
      </c>
      <c r="BI25" s="133"/>
      <c r="BJ25" s="133"/>
      <c r="BK25" s="133"/>
      <c r="BL25" s="134" t="s">
        <v>174</v>
      </c>
      <c r="BM25" s="133"/>
      <c r="BN25" s="133"/>
      <c r="BO25" s="133">
        <v>0.65</v>
      </c>
      <c r="BP25" s="133"/>
      <c r="BQ25" s="133"/>
      <c r="BR25" s="134"/>
    </row>
    <row r="26" spans="2:70" x14ac:dyDescent="0.6">
      <c r="B26" s="75" t="s">
        <v>66</v>
      </c>
      <c r="C26" s="76" t="s">
        <v>46</v>
      </c>
      <c r="D26" s="76" t="s">
        <v>47</v>
      </c>
      <c r="E26" s="76" t="s">
        <v>48</v>
      </c>
      <c r="F26" s="76" t="s">
        <v>49</v>
      </c>
      <c r="G26" s="76" t="s">
        <v>169</v>
      </c>
      <c r="H26" s="76" t="s">
        <v>177</v>
      </c>
      <c r="I26" s="77">
        <f>VLOOKUP(H26,'Listen und Kennwerte'!$B$4:$O$11,5,FALSE)</f>
        <v>24</v>
      </c>
      <c r="J26" s="77">
        <f>VLOOKUP(H26,'Listen und Kennwerte'!$B$4:$O$11,2,FALSE)</f>
        <v>24</v>
      </c>
      <c r="K26" s="78">
        <f>VLOOKUP(H26,'Listen und Kennwerte'!$B$4:$O$11,8,FALSE)</f>
        <v>11500</v>
      </c>
      <c r="L26" s="78">
        <f>VLOOKUP(H26,'Listen und Kennwerte'!$B$4:$O$11,9,FALSE)</f>
        <v>9600</v>
      </c>
      <c r="M26" s="76" t="s">
        <v>136</v>
      </c>
      <c r="N26" s="79">
        <v>7.8</v>
      </c>
      <c r="O26" s="79">
        <v>0.6</v>
      </c>
      <c r="P26" s="79">
        <v>0.6</v>
      </c>
      <c r="Q26" s="76">
        <v>1</v>
      </c>
      <c r="R26" s="76" t="s">
        <v>171</v>
      </c>
      <c r="S26" s="79">
        <v>0.6</v>
      </c>
      <c r="T26" s="79">
        <v>1.3</v>
      </c>
      <c r="U26" s="80">
        <v>3987.2978253462948</v>
      </c>
      <c r="V26" s="80">
        <v>5</v>
      </c>
      <c r="W26" s="80">
        <v>0</v>
      </c>
      <c r="X26" s="81">
        <v>0</v>
      </c>
      <c r="Z26" s="11">
        <v>45.03</v>
      </c>
      <c r="AA26" s="105">
        <v>0.72</v>
      </c>
      <c r="AB26" s="105">
        <v>0.92</v>
      </c>
      <c r="AC26" s="106">
        <v>15.6</v>
      </c>
      <c r="AD26" s="107">
        <v>1727.83</v>
      </c>
      <c r="AE26" s="107">
        <v>11075.827292628597</v>
      </c>
      <c r="AF26" s="108"/>
      <c r="AG26" s="168">
        <v>1.26</v>
      </c>
      <c r="AI26" s="11">
        <v>15.6</v>
      </c>
      <c r="AJ26" s="106">
        <v>62.201846075402194</v>
      </c>
      <c r="AK26" s="106">
        <v>20.58</v>
      </c>
      <c r="AL26" s="106">
        <v>82.07</v>
      </c>
      <c r="AM26" s="106">
        <v>15.6</v>
      </c>
      <c r="AN26" s="106">
        <v>62.201846075402194</v>
      </c>
      <c r="AO26" s="106">
        <v>20.58</v>
      </c>
      <c r="AP26" s="106">
        <v>82.07</v>
      </c>
      <c r="AQ26" s="108"/>
      <c r="AR26" s="168">
        <v>1.49</v>
      </c>
      <c r="AT26" s="11">
        <v>15.6</v>
      </c>
      <c r="AU26" s="106">
        <v>62.201846075402194</v>
      </c>
      <c r="AV26" s="106">
        <v>19.449672819342386</v>
      </c>
      <c r="AW26" s="106">
        <v>77.551638136260834</v>
      </c>
      <c r="AX26" s="108"/>
      <c r="AY26" s="168">
        <v>1.4711929452530581</v>
      </c>
      <c r="AZ26" s="10"/>
      <c r="BA26" s="123">
        <v>1.49</v>
      </c>
      <c r="BB26" s="124">
        <v>1.63</v>
      </c>
      <c r="BC26" s="124">
        <v>1.27</v>
      </c>
      <c r="BD26" s="124">
        <v>0.85</v>
      </c>
      <c r="BE26" s="124">
        <v>0.72</v>
      </c>
      <c r="BF26" s="109" t="s">
        <v>172</v>
      </c>
      <c r="BG26" s="125" t="s">
        <v>173</v>
      </c>
      <c r="BH26" s="125" t="s">
        <v>170</v>
      </c>
      <c r="BI26" s="125"/>
      <c r="BJ26" s="125"/>
      <c r="BK26" s="125"/>
      <c r="BL26" s="126" t="s">
        <v>174</v>
      </c>
      <c r="BM26" s="125"/>
      <c r="BN26" s="125"/>
      <c r="BO26" s="125">
        <v>0.7</v>
      </c>
      <c r="BP26" s="125">
        <v>0.75</v>
      </c>
      <c r="BQ26" s="125">
        <v>0.75</v>
      </c>
      <c r="BR26" s="126"/>
    </row>
    <row r="27" spans="2:70" x14ac:dyDescent="0.6">
      <c r="B27" s="89" t="s">
        <v>67</v>
      </c>
      <c r="C27" s="90" t="s">
        <v>46</v>
      </c>
      <c r="D27" s="90" t="s">
        <v>55</v>
      </c>
      <c r="E27" s="90" t="s">
        <v>48</v>
      </c>
      <c r="F27" s="90" t="s">
        <v>49</v>
      </c>
      <c r="G27" s="90" t="s">
        <v>169</v>
      </c>
      <c r="H27" s="90" t="s">
        <v>177</v>
      </c>
      <c r="I27" s="91">
        <f>VLOOKUP(H27,'Listen und Kennwerte'!$B$4:$O$11,5,FALSE)</f>
        <v>24</v>
      </c>
      <c r="J27" s="91">
        <f>VLOOKUP(H27,'Listen und Kennwerte'!$B$4:$O$11,2,FALSE)</f>
        <v>24</v>
      </c>
      <c r="K27" s="92">
        <f>VLOOKUP(H27,'Listen und Kennwerte'!$B$4:$O$11,8,FALSE)</f>
        <v>11500</v>
      </c>
      <c r="L27" s="92">
        <f>VLOOKUP(H27,'Listen und Kennwerte'!$B$4:$O$11,9,FALSE)</f>
        <v>9600</v>
      </c>
      <c r="M27" s="90" t="s">
        <v>136</v>
      </c>
      <c r="N27" s="93">
        <v>4</v>
      </c>
      <c r="O27" s="93">
        <v>0.5</v>
      </c>
      <c r="P27" s="93">
        <v>0.5</v>
      </c>
      <c r="Q27" s="90">
        <v>1</v>
      </c>
      <c r="R27" s="90" t="s">
        <v>171</v>
      </c>
      <c r="S27" s="93">
        <v>0.6</v>
      </c>
      <c r="T27" s="93">
        <v>1.3</v>
      </c>
      <c r="U27" s="94">
        <v>3354.9670844478624</v>
      </c>
      <c r="V27" s="94">
        <v>5</v>
      </c>
      <c r="W27" s="94">
        <v>0</v>
      </c>
      <c r="X27" s="95">
        <v>85.5</v>
      </c>
      <c r="Z27" s="113">
        <v>27.71</v>
      </c>
      <c r="AA27" s="114">
        <v>0.45</v>
      </c>
      <c r="AB27" s="114">
        <v>0.98</v>
      </c>
      <c r="AC27" s="115">
        <v>8</v>
      </c>
      <c r="AD27" s="116">
        <v>1288.31</v>
      </c>
      <c r="AE27" s="116">
        <v>13419.868337791449</v>
      </c>
      <c r="AF27" s="117"/>
      <c r="AG27" s="167">
        <v>2.0299999999999998</v>
      </c>
      <c r="AI27" s="113">
        <v>8</v>
      </c>
      <c r="AJ27" s="115">
        <v>26.839736675582898</v>
      </c>
      <c r="AK27" s="115">
        <v>9</v>
      </c>
      <c r="AL27" s="115">
        <v>30.19</v>
      </c>
      <c r="AM27" s="115">
        <v>8</v>
      </c>
      <c r="AN27" s="115">
        <v>112.3397366755829</v>
      </c>
      <c r="AO27" s="115">
        <v>9</v>
      </c>
      <c r="AP27" s="115">
        <v>115.69</v>
      </c>
      <c r="AQ27" s="117"/>
      <c r="AR27" s="167">
        <v>1.87</v>
      </c>
      <c r="AT27" s="113">
        <v>8</v>
      </c>
      <c r="AU27" s="115">
        <v>26.839736675582898</v>
      </c>
      <c r="AV27" s="115">
        <v>8.7903725900947993</v>
      </c>
      <c r="AW27" s="115">
        <v>29.491410699800753</v>
      </c>
      <c r="AX27" s="117"/>
      <c r="AY27" s="167">
        <v>1.8595442863389609</v>
      </c>
      <c r="AZ27" s="10"/>
      <c r="BA27" s="131">
        <v>2.0299999999999998</v>
      </c>
      <c r="BB27" s="132">
        <v>2.48</v>
      </c>
      <c r="BC27" s="132">
        <v>1.6</v>
      </c>
      <c r="BD27" s="132">
        <v>1.03</v>
      </c>
      <c r="BE27" s="132">
        <v>0.72</v>
      </c>
      <c r="BF27" s="118" t="s">
        <v>172</v>
      </c>
      <c r="BG27" s="133" t="s">
        <v>173</v>
      </c>
      <c r="BH27" s="133" t="s">
        <v>170</v>
      </c>
      <c r="BI27" s="133"/>
      <c r="BJ27" s="133"/>
      <c r="BK27" s="133"/>
      <c r="BL27" s="134" t="s">
        <v>174</v>
      </c>
      <c r="BM27" s="133"/>
      <c r="BN27" s="133"/>
      <c r="BO27" s="133">
        <v>0.6</v>
      </c>
      <c r="BP27" s="133">
        <v>0.7</v>
      </c>
      <c r="BQ27" s="133">
        <v>0.7</v>
      </c>
      <c r="BR27" s="134"/>
    </row>
    <row r="28" spans="2:70" x14ac:dyDescent="0.6">
      <c r="B28" s="75" t="s">
        <v>68</v>
      </c>
      <c r="C28" s="76" t="s">
        <v>46</v>
      </c>
      <c r="D28" s="76" t="s">
        <v>55</v>
      </c>
      <c r="E28" s="76" t="s">
        <v>48</v>
      </c>
      <c r="F28" s="76" t="s">
        <v>49</v>
      </c>
      <c r="G28" s="76" t="s">
        <v>169</v>
      </c>
      <c r="H28" s="76" t="s">
        <v>177</v>
      </c>
      <c r="I28" s="77">
        <f>VLOOKUP(H28,'Listen und Kennwerte'!$B$4:$O$11,5,FALSE)</f>
        <v>24</v>
      </c>
      <c r="J28" s="77">
        <f>VLOOKUP(H28,'Listen und Kennwerte'!$B$4:$O$11,2,FALSE)</f>
        <v>24</v>
      </c>
      <c r="K28" s="78">
        <f>VLOOKUP(H28,'Listen und Kennwerte'!$B$4:$O$11,8,FALSE)</f>
        <v>11500</v>
      </c>
      <c r="L28" s="78">
        <f>VLOOKUP(H28,'Listen und Kennwerte'!$B$4:$O$11,9,FALSE)</f>
        <v>9600</v>
      </c>
      <c r="M28" s="76" t="s">
        <v>136</v>
      </c>
      <c r="N28" s="79">
        <v>4</v>
      </c>
      <c r="O28" s="79">
        <v>0.5</v>
      </c>
      <c r="P28" s="79">
        <v>0.5</v>
      </c>
      <c r="Q28" s="76">
        <v>1</v>
      </c>
      <c r="R28" s="76" t="s">
        <v>171</v>
      </c>
      <c r="S28" s="79">
        <v>0.6</v>
      </c>
      <c r="T28" s="79">
        <v>1.3</v>
      </c>
      <c r="U28" s="80">
        <v>4410.6352083835627</v>
      </c>
      <c r="V28" s="80">
        <v>5</v>
      </c>
      <c r="W28" s="80">
        <v>0</v>
      </c>
      <c r="X28" s="81">
        <v>112.5</v>
      </c>
      <c r="Z28" s="11">
        <v>27.71</v>
      </c>
      <c r="AA28" s="105">
        <v>0.45</v>
      </c>
      <c r="AB28" s="105">
        <v>0.98</v>
      </c>
      <c r="AC28" s="106">
        <v>8</v>
      </c>
      <c r="AD28" s="107">
        <v>1693.68</v>
      </c>
      <c r="AE28" s="107">
        <v>17642.540833534251</v>
      </c>
      <c r="AF28" s="108"/>
      <c r="AG28" s="168">
        <v>3.28</v>
      </c>
      <c r="AI28" s="11">
        <v>8</v>
      </c>
      <c r="AJ28" s="106">
        <v>35.285081667068503</v>
      </c>
      <c r="AK28" s="106">
        <v>9.3699999999999992</v>
      </c>
      <c r="AL28" s="106">
        <v>41.32</v>
      </c>
      <c r="AM28" s="106">
        <v>8</v>
      </c>
      <c r="AN28" s="106">
        <v>147.78508166706851</v>
      </c>
      <c r="AO28" s="106">
        <v>9.3699999999999992</v>
      </c>
      <c r="AP28" s="106">
        <v>153.82</v>
      </c>
      <c r="AQ28" s="108"/>
      <c r="AR28" s="168">
        <v>2.4700000000000002</v>
      </c>
      <c r="AT28" s="11">
        <v>8</v>
      </c>
      <c r="AU28" s="106">
        <v>35.285081667068503</v>
      </c>
      <c r="AV28" s="106">
        <v>9.0726031480937408</v>
      </c>
      <c r="AW28" s="106">
        <v>40.01594287667379</v>
      </c>
      <c r="AX28" s="108"/>
      <c r="AY28" s="168">
        <v>2.4558727845244532</v>
      </c>
      <c r="AZ28" s="10"/>
      <c r="BA28" s="123">
        <v>3.28</v>
      </c>
      <c r="BB28" s="124">
        <v>4.0599999999999996</v>
      </c>
      <c r="BC28" s="124">
        <v>2.5</v>
      </c>
      <c r="BD28" s="124">
        <v>1.36</v>
      </c>
      <c r="BE28" s="124">
        <v>0.95</v>
      </c>
      <c r="BF28" s="109" t="s">
        <v>255</v>
      </c>
      <c r="BG28" s="125" t="s">
        <v>173</v>
      </c>
      <c r="BH28" s="125" t="s">
        <v>170</v>
      </c>
      <c r="BI28" s="125"/>
      <c r="BJ28" s="125"/>
      <c r="BK28" s="125"/>
      <c r="BL28" s="126" t="s">
        <v>174</v>
      </c>
      <c r="BM28" s="125"/>
      <c r="BN28" s="125"/>
      <c r="BO28" s="125">
        <v>0.6</v>
      </c>
      <c r="BP28" s="125">
        <v>0.7</v>
      </c>
      <c r="BQ28" s="125">
        <v>0.75</v>
      </c>
      <c r="BR28" s="126"/>
    </row>
    <row r="29" spans="2:70" x14ac:dyDescent="0.6">
      <c r="B29" s="89" t="s">
        <v>69</v>
      </c>
      <c r="C29" s="90" t="s">
        <v>46</v>
      </c>
      <c r="D29" s="90" t="s">
        <v>55</v>
      </c>
      <c r="E29" s="90" t="s">
        <v>48</v>
      </c>
      <c r="F29" s="90" t="s">
        <v>49</v>
      </c>
      <c r="G29" s="90" t="s">
        <v>169</v>
      </c>
      <c r="H29" s="90" t="s">
        <v>177</v>
      </c>
      <c r="I29" s="91">
        <f>VLOOKUP(H29,'Listen und Kennwerte'!$B$4:$O$11,5,FALSE)</f>
        <v>24</v>
      </c>
      <c r="J29" s="91">
        <f>VLOOKUP(H29,'Listen und Kennwerte'!$B$4:$O$11,2,FALSE)</f>
        <v>24</v>
      </c>
      <c r="K29" s="92">
        <f>VLOOKUP(H29,'Listen und Kennwerte'!$B$4:$O$11,8,FALSE)</f>
        <v>11500</v>
      </c>
      <c r="L29" s="92">
        <f>VLOOKUP(H29,'Listen und Kennwerte'!$B$4:$O$11,9,FALSE)</f>
        <v>9600</v>
      </c>
      <c r="M29" s="90" t="s">
        <v>136</v>
      </c>
      <c r="N29" s="93">
        <v>4</v>
      </c>
      <c r="O29" s="93">
        <v>0.5</v>
      </c>
      <c r="P29" s="93">
        <v>0.5</v>
      </c>
      <c r="Q29" s="90">
        <v>1</v>
      </c>
      <c r="R29" s="90" t="s">
        <v>171</v>
      </c>
      <c r="S29" s="93">
        <v>0.6</v>
      </c>
      <c r="T29" s="93">
        <v>1.3</v>
      </c>
      <c r="U29" s="94">
        <v>2562.6882614407527</v>
      </c>
      <c r="V29" s="94">
        <v>5</v>
      </c>
      <c r="W29" s="94">
        <v>112.5</v>
      </c>
      <c r="X29" s="95">
        <v>85.5</v>
      </c>
      <c r="Z29" s="113">
        <v>27.71</v>
      </c>
      <c r="AA29" s="114">
        <v>0.45</v>
      </c>
      <c r="AB29" s="114">
        <v>0.98</v>
      </c>
      <c r="AC29" s="115">
        <v>8</v>
      </c>
      <c r="AD29" s="116">
        <v>6384.07</v>
      </c>
      <c r="AE29" s="116">
        <v>10250.753045763011</v>
      </c>
      <c r="AF29" s="117"/>
      <c r="AG29" s="167">
        <v>1.74</v>
      </c>
      <c r="AI29" s="113">
        <v>8</v>
      </c>
      <c r="AJ29" s="115">
        <v>133.00150609152601</v>
      </c>
      <c r="AK29" s="115">
        <v>12.81</v>
      </c>
      <c r="AL29" s="115">
        <v>145.33000000000001</v>
      </c>
      <c r="AM29" s="115">
        <v>8</v>
      </c>
      <c r="AN29" s="115">
        <v>106.00150609152602</v>
      </c>
      <c r="AO29" s="115">
        <v>12.81</v>
      </c>
      <c r="AP29" s="115">
        <v>118.33</v>
      </c>
      <c r="AQ29" s="117"/>
      <c r="AR29" s="167">
        <v>2.08</v>
      </c>
      <c r="AT29" s="113">
        <v>8</v>
      </c>
      <c r="AU29" s="115">
        <v>133.00150609152601</v>
      </c>
      <c r="AV29" s="115">
        <v>32.972340049221117</v>
      </c>
      <c r="AW29" s="115">
        <v>196.99782879637175</v>
      </c>
      <c r="AX29" s="117"/>
      <c r="AY29" s="167">
        <v>2.5324856423147954</v>
      </c>
      <c r="AZ29" s="10"/>
      <c r="BA29" s="131">
        <v>2.5299999999999998</v>
      </c>
      <c r="BB29" s="132">
        <v>2.66</v>
      </c>
      <c r="BC29" s="132">
        <v>2.12</v>
      </c>
      <c r="BD29" s="132">
        <v>1.18</v>
      </c>
      <c r="BE29" s="132">
        <v>0.77</v>
      </c>
      <c r="BF29" s="118" t="s">
        <v>172</v>
      </c>
      <c r="BG29" s="133" t="s">
        <v>173</v>
      </c>
      <c r="BH29" s="133" t="s">
        <v>170</v>
      </c>
      <c r="BI29" s="133"/>
      <c r="BJ29" s="133"/>
      <c r="BK29" s="133"/>
      <c r="BL29" s="134" t="s">
        <v>174</v>
      </c>
      <c r="BM29" s="133"/>
      <c r="BN29" s="133"/>
      <c r="BO29" s="133">
        <v>0.6</v>
      </c>
      <c r="BP29" s="133">
        <v>0.7</v>
      </c>
      <c r="BQ29" s="133">
        <v>0.7</v>
      </c>
      <c r="BR29" s="134"/>
    </row>
    <row r="30" spans="2:70" x14ac:dyDescent="0.6">
      <c r="B30" s="75" t="s">
        <v>70</v>
      </c>
      <c r="C30" s="76" t="s">
        <v>46</v>
      </c>
      <c r="D30" s="76" t="s">
        <v>55</v>
      </c>
      <c r="E30" s="76" t="s">
        <v>48</v>
      </c>
      <c r="F30" s="76" t="s">
        <v>49</v>
      </c>
      <c r="G30" s="76" t="s">
        <v>169</v>
      </c>
      <c r="H30" s="76" t="s">
        <v>177</v>
      </c>
      <c r="I30" s="77">
        <f>VLOOKUP(H30,'Listen und Kennwerte'!$B$4:$O$11,5,FALSE)</f>
        <v>24</v>
      </c>
      <c r="J30" s="77">
        <f>VLOOKUP(H30,'Listen und Kennwerte'!$B$4:$O$11,2,FALSE)</f>
        <v>24</v>
      </c>
      <c r="K30" s="78">
        <f>VLOOKUP(H30,'Listen und Kennwerte'!$B$4:$O$11,8,FALSE)</f>
        <v>11500</v>
      </c>
      <c r="L30" s="78">
        <f>VLOOKUP(H30,'Listen und Kennwerte'!$B$4:$O$11,9,FALSE)</f>
        <v>9600</v>
      </c>
      <c r="M30" s="76" t="s">
        <v>136</v>
      </c>
      <c r="N30" s="79">
        <v>4</v>
      </c>
      <c r="O30" s="79">
        <v>0.5</v>
      </c>
      <c r="P30" s="79">
        <v>0.5</v>
      </c>
      <c r="Q30" s="76">
        <v>1</v>
      </c>
      <c r="R30" s="76" t="s">
        <v>171</v>
      </c>
      <c r="S30" s="79">
        <v>0.6</v>
      </c>
      <c r="T30" s="79">
        <v>1.3</v>
      </c>
      <c r="U30" s="80">
        <v>2865.6686480426793</v>
      </c>
      <c r="V30" s="80">
        <v>5</v>
      </c>
      <c r="W30" s="80">
        <v>85.5</v>
      </c>
      <c r="X30" s="81">
        <v>0</v>
      </c>
      <c r="Z30" s="11">
        <v>27.71</v>
      </c>
      <c r="AA30" s="105">
        <v>0.45</v>
      </c>
      <c r="AB30" s="105">
        <v>0.98</v>
      </c>
      <c r="AC30" s="106">
        <v>8</v>
      </c>
      <c r="AD30" s="107">
        <v>5204.42</v>
      </c>
      <c r="AE30" s="107">
        <v>11462.674592170717</v>
      </c>
      <c r="AF30" s="108"/>
      <c r="AG30" s="168">
        <v>1.61</v>
      </c>
      <c r="AI30" s="11">
        <v>8</v>
      </c>
      <c r="AJ30" s="106">
        <v>108.42534918434143</v>
      </c>
      <c r="AK30" s="106">
        <v>11.97</v>
      </c>
      <c r="AL30" s="106">
        <v>119.79</v>
      </c>
      <c r="AM30" s="106">
        <v>8</v>
      </c>
      <c r="AN30" s="106">
        <v>22.925349184341435</v>
      </c>
      <c r="AO30" s="106">
        <v>11.97</v>
      </c>
      <c r="AP30" s="106">
        <v>34.29</v>
      </c>
      <c r="AQ30" s="108"/>
      <c r="AR30" s="168">
        <v>1.72</v>
      </c>
      <c r="AT30" s="11">
        <v>8</v>
      </c>
      <c r="AU30" s="106">
        <v>108.42534918434143</v>
      </c>
      <c r="AV30" s="106">
        <v>27.315231442360691</v>
      </c>
      <c r="AW30" s="106">
        <v>163.77640235840258</v>
      </c>
      <c r="AX30" s="108"/>
      <c r="AY30" s="168">
        <v>2.1024572088816238</v>
      </c>
      <c r="AZ30" s="10"/>
      <c r="BA30" s="123">
        <v>2.1</v>
      </c>
      <c r="BB30" s="124">
        <v>2.25</v>
      </c>
      <c r="BC30" s="124">
        <v>1.76</v>
      </c>
      <c r="BD30" s="124">
        <v>1</v>
      </c>
      <c r="BE30" s="124">
        <v>0.66</v>
      </c>
      <c r="BF30" s="109"/>
      <c r="BG30" s="125" t="s">
        <v>173</v>
      </c>
      <c r="BH30" s="125" t="s">
        <v>170</v>
      </c>
      <c r="BI30" s="125"/>
      <c r="BJ30" s="125"/>
      <c r="BK30" s="125"/>
      <c r="BL30" s="126" t="s">
        <v>174</v>
      </c>
      <c r="BM30" s="125"/>
      <c r="BN30" s="125"/>
      <c r="BO30" s="125">
        <v>0.6</v>
      </c>
      <c r="BP30" s="125">
        <v>0.7</v>
      </c>
      <c r="BQ30" s="125">
        <v>0.65</v>
      </c>
      <c r="BR30" s="126"/>
    </row>
    <row r="31" spans="2:70" x14ac:dyDescent="0.6">
      <c r="B31" s="89" t="s">
        <v>71</v>
      </c>
      <c r="C31" s="90" t="s">
        <v>46</v>
      </c>
      <c r="D31" s="90" t="s">
        <v>55</v>
      </c>
      <c r="E31" s="90" t="s">
        <v>48</v>
      </c>
      <c r="F31" s="90" t="s">
        <v>49</v>
      </c>
      <c r="G31" s="90" t="s">
        <v>169</v>
      </c>
      <c r="H31" s="90" t="s">
        <v>177</v>
      </c>
      <c r="I31" s="91">
        <f>VLOOKUP(H31,'Listen und Kennwerte'!$B$4:$O$11,5,FALSE)</f>
        <v>24</v>
      </c>
      <c r="J31" s="91">
        <f>VLOOKUP(H31,'Listen und Kennwerte'!$B$4:$O$11,2,FALSE)</f>
        <v>24</v>
      </c>
      <c r="K31" s="92">
        <f>VLOOKUP(H31,'Listen und Kennwerte'!$B$4:$O$11,8,FALSE)</f>
        <v>11500</v>
      </c>
      <c r="L31" s="92">
        <f>VLOOKUP(H31,'Listen und Kennwerte'!$B$4:$O$11,9,FALSE)</f>
        <v>9600</v>
      </c>
      <c r="M31" s="90" t="s">
        <v>136</v>
      </c>
      <c r="N31" s="93">
        <v>4</v>
      </c>
      <c r="O31" s="93">
        <v>0.5</v>
      </c>
      <c r="P31" s="93">
        <v>0.5</v>
      </c>
      <c r="Q31" s="90">
        <v>1</v>
      </c>
      <c r="R31" s="90" t="s">
        <v>171</v>
      </c>
      <c r="S31" s="93">
        <v>0.6</v>
      </c>
      <c r="T31" s="93">
        <v>1.3</v>
      </c>
      <c r="U31" s="94">
        <v>3381.5948263549803</v>
      </c>
      <c r="V31" s="94">
        <v>5</v>
      </c>
      <c r="W31" s="94">
        <v>85.5</v>
      </c>
      <c r="X31" s="95">
        <v>0</v>
      </c>
      <c r="Z31" s="113">
        <v>27.71</v>
      </c>
      <c r="AA31" s="114">
        <v>0.45</v>
      </c>
      <c r="AB31" s="114">
        <v>0.98</v>
      </c>
      <c r="AC31" s="115">
        <v>8</v>
      </c>
      <c r="AD31" s="116">
        <v>5402.53</v>
      </c>
      <c r="AE31" s="116">
        <v>13526.379305419921</v>
      </c>
      <c r="AF31" s="117"/>
      <c r="AG31" s="167">
        <v>2.06</v>
      </c>
      <c r="AI31" s="113">
        <v>8</v>
      </c>
      <c r="AJ31" s="115">
        <v>112.55275861083985</v>
      </c>
      <c r="AK31" s="115">
        <v>12.2</v>
      </c>
      <c r="AL31" s="115">
        <v>126.74</v>
      </c>
      <c r="AM31" s="115">
        <v>8</v>
      </c>
      <c r="AN31" s="115">
        <v>27.052758610839842</v>
      </c>
      <c r="AO31" s="115">
        <v>12.2</v>
      </c>
      <c r="AP31" s="115">
        <v>41.24</v>
      </c>
      <c r="AQ31" s="117"/>
      <c r="AR31" s="167">
        <v>1.97</v>
      </c>
      <c r="AT31" s="113">
        <v>8</v>
      </c>
      <c r="AU31" s="115">
        <v>112.55275861083985</v>
      </c>
      <c r="AV31" s="115">
        <v>27.69929984706064</v>
      </c>
      <c r="AW31" s="115">
        <v>179.16780905647556</v>
      </c>
      <c r="AX31" s="117"/>
      <c r="AY31" s="167">
        <v>2.4255294154694051</v>
      </c>
      <c r="AZ31" s="10"/>
      <c r="BA31" s="131">
        <v>2.4300000000000002</v>
      </c>
      <c r="BB31" s="132">
        <v>2.6</v>
      </c>
      <c r="BC31" s="132">
        <v>2.02</v>
      </c>
      <c r="BD31" s="132">
        <v>1.1499999999999999</v>
      </c>
      <c r="BE31" s="132">
        <v>0.76</v>
      </c>
      <c r="BF31" s="118" t="s">
        <v>172</v>
      </c>
      <c r="BG31" s="133" t="s">
        <v>173</v>
      </c>
      <c r="BH31" s="133" t="s">
        <v>170</v>
      </c>
      <c r="BI31" s="133"/>
      <c r="BJ31" s="133"/>
      <c r="BK31" s="133"/>
      <c r="BL31" s="134" t="s">
        <v>174</v>
      </c>
      <c r="BM31" s="133"/>
      <c r="BN31" s="133"/>
      <c r="BO31" s="133">
        <v>0.6</v>
      </c>
      <c r="BP31" s="133">
        <v>0.7</v>
      </c>
      <c r="BQ31" s="133">
        <v>0.7</v>
      </c>
      <c r="BR31" s="134"/>
    </row>
    <row r="32" spans="2:70" x14ac:dyDescent="0.6">
      <c r="B32" s="75" t="s">
        <v>72</v>
      </c>
      <c r="C32" s="76" t="s">
        <v>46</v>
      </c>
      <c r="D32" s="76" t="s">
        <v>55</v>
      </c>
      <c r="E32" s="76" t="s">
        <v>48</v>
      </c>
      <c r="F32" s="76" t="s">
        <v>49</v>
      </c>
      <c r="G32" s="76" t="s">
        <v>169</v>
      </c>
      <c r="H32" s="76" t="s">
        <v>177</v>
      </c>
      <c r="I32" s="77">
        <f>VLOOKUP(H32,'Listen und Kennwerte'!$B$4:$O$11,5,FALSE)</f>
        <v>24</v>
      </c>
      <c r="J32" s="77">
        <f>VLOOKUP(H32,'Listen und Kennwerte'!$B$4:$O$11,2,FALSE)</f>
        <v>24</v>
      </c>
      <c r="K32" s="78">
        <f>VLOOKUP(H32,'Listen und Kennwerte'!$B$4:$O$11,8,FALSE)</f>
        <v>11500</v>
      </c>
      <c r="L32" s="78">
        <f>VLOOKUP(H32,'Listen und Kennwerte'!$B$4:$O$11,9,FALSE)</f>
        <v>9600</v>
      </c>
      <c r="M32" s="76" t="s">
        <v>136</v>
      </c>
      <c r="N32" s="79">
        <v>4</v>
      </c>
      <c r="O32" s="79">
        <v>0.5</v>
      </c>
      <c r="P32" s="79">
        <v>0.5</v>
      </c>
      <c r="Q32" s="76">
        <v>1</v>
      </c>
      <c r="R32" s="76" t="s">
        <v>171</v>
      </c>
      <c r="S32" s="79">
        <v>0.6</v>
      </c>
      <c r="T32" s="79">
        <v>1.3</v>
      </c>
      <c r="U32" s="80">
        <v>3352.340667062761</v>
      </c>
      <c r="V32" s="80">
        <v>5</v>
      </c>
      <c r="W32" s="80">
        <v>85.5</v>
      </c>
      <c r="X32" s="81">
        <v>0</v>
      </c>
      <c r="Z32" s="11">
        <v>27.71</v>
      </c>
      <c r="AA32" s="105">
        <v>0.45</v>
      </c>
      <c r="AB32" s="105">
        <v>0.98</v>
      </c>
      <c r="AC32" s="106">
        <v>8</v>
      </c>
      <c r="AD32" s="107">
        <v>5391.3</v>
      </c>
      <c r="AE32" s="107">
        <v>13409.362668251044</v>
      </c>
      <c r="AF32" s="108"/>
      <c r="AG32" s="168">
        <v>2.0299999999999998</v>
      </c>
      <c r="AI32" s="11">
        <v>8</v>
      </c>
      <c r="AJ32" s="106">
        <v>112.31872533650208</v>
      </c>
      <c r="AK32" s="106">
        <v>12.18</v>
      </c>
      <c r="AL32" s="106">
        <v>126.34</v>
      </c>
      <c r="AM32" s="106">
        <v>8</v>
      </c>
      <c r="AN32" s="106">
        <v>26.818725336502087</v>
      </c>
      <c r="AO32" s="106">
        <v>12.18</v>
      </c>
      <c r="AP32" s="106">
        <v>40.840000000000003</v>
      </c>
      <c r="AQ32" s="108"/>
      <c r="AR32" s="168">
        <v>1.96</v>
      </c>
      <c r="AT32" s="11">
        <v>8</v>
      </c>
      <c r="AU32" s="106">
        <v>112.31872533650208</v>
      </c>
      <c r="AV32" s="106">
        <v>27.677389910230307</v>
      </c>
      <c r="AW32" s="106">
        <v>178.28403975421767</v>
      </c>
      <c r="AX32" s="108"/>
      <c r="AY32" s="168">
        <v>2.4071148037023518</v>
      </c>
      <c r="AZ32" s="10"/>
      <c r="BA32" s="123">
        <v>2.41</v>
      </c>
      <c r="BB32" s="124">
        <v>2.58</v>
      </c>
      <c r="BC32" s="124">
        <v>2.0099999999999998</v>
      </c>
      <c r="BD32" s="124">
        <v>1.1399999999999999</v>
      </c>
      <c r="BE32" s="124">
        <v>0.76</v>
      </c>
      <c r="BF32" s="109" t="s">
        <v>172</v>
      </c>
      <c r="BG32" s="125" t="s">
        <v>173</v>
      </c>
      <c r="BH32" s="125" t="s">
        <v>170</v>
      </c>
      <c r="BI32" s="125"/>
      <c r="BJ32" s="125"/>
      <c r="BK32" s="125"/>
      <c r="BL32" s="126" t="s">
        <v>174</v>
      </c>
      <c r="BM32" s="125"/>
      <c r="BN32" s="125"/>
      <c r="BO32" s="125">
        <v>0.6</v>
      </c>
      <c r="BP32" s="125">
        <v>0.7</v>
      </c>
      <c r="BQ32" s="125">
        <v>0.7</v>
      </c>
      <c r="BR32" s="126"/>
    </row>
    <row r="33" spans="2:70" x14ac:dyDescent="0.6">
      <c r="B33" s="89" t="s">
        <v>73</v>
      </c>
      <c r="C33" s="90" t="s">
        <v>46</v>
      </c>
      <c r="D33" s="90" t="s">
        <v>55</v>
      </c>
      <c r="E33" s="90" t="s">
        <v>48</v>
      </c>
      <c r="F33" s="90" t="s">
        <v>49</v>
      </c>
      <c r="G33" s="90" t="s">
        <v>169</v>
      </c>
      <c r="H33" s="90" t="s">
        <v>177</v>
      </c>
      <c r="I33" s="91">
        <f>VLOOKUP(H33,'Listen und Kennwerte'!$B$4:$O$11,5,FALSE)</f>
        <v>24</v>
      </c>
      <c r="J33" s="91">
        <f>VLOOKUP(H33,'Listen und Kennwerte'!$B$4:$O$11,2,FALSE)</f>
        <v>24</v>
      </c>
      <c r="K33" s="92">
        <f>VLOOKUP(H33,'Listen und Kennwerte'!$B$4:$O$11,8,FALSE)</f>
        <v>11500</v>
      </c>
      <c r="L33" s="92">
        <f>VLOOKUP(H33,'Listen und Kennwerte'!$B$4:$O$11,9,FALSE)</f>
        <v>9600</v>
      </c>
      <c r="M33" s="90" t="s">
        <v>136</v>
      </c>
      <c r="N33" s="93">
        <v>4</v>
      </c>
      <c r="O33" s="93">
        <v>0.5</v>
      </c>
      <c r="P33" s="93">
        <v>0.5</v>
      </c>
      <c r="Q33" s="90">
        <v>1</v>
      </c>
      <c r="R33" s="90" t="s">
        <v>171</v>
      </c>
      <c r="S33" s="93">
        <v>0.6</v>
      </c>
      <c r="T33" s="93">
        <v>1.3</v>
      </c>
      <c r="U33" s="94">
        <v>3035.8056892490395</v>
      </c>
      <c r="V33" s="94">
        <v>5</v>
      </c>
      <c r="W33" s="94">
        <v>85.5</v>
      </c>
      <c r="X33" s="95">
        <v>0</v>
      </c>
      <c r="Z33" s="113">
        <v>27.71</v>
      </c>
      <c r="AA33" s="114">
        <v>0.45</v>
      </c>
      <c r="AB33" s="114">
        <v>0.98</v>
      </c>
      <c r="AC33" s="115">
        <v>8</v>
      </c>
      <c r="AD33" s="116">
        <v>5269.75</v>
      </c>
      <c r="AE33" s="116">
        <v>12143.222756996158</v>
      </c>
      <c r="AF33" s="117"/>
      <c r="AG33" s="167">
        <v>1.75</v>
      </c>
      <c r="AI33" s="113">
        <v>8</v>
      </c>
      <c r="AJ33" s="115">
        <v>109.78644551399232</v>
      </c>
      <c r="AK33" s="115">
        <v>12.04</v>
      </c>
      <c r="AL33" s="115">
        <v>122.06</v>
      </c>
      <c r="AM33" s="115">
        <v>8</v>
      </c>
      <c r="AN33" s="115">
        <v>24.286445513992316</v>
      </c>
      <c r="AO33" s="115">
        <v>12.04</v>
      </c>
      <c r="AP33" s="115">
        <v>36.56</v>
      </c>
      <c r="AQ33" s="117"/>
      <c r="AR33" s="167">
        <v>1.8</v>
      </c>
      <c r="AT33" s="113">
        <v>8</v>
      </c>
      <c r="AU33" s="115">
        <v>109.78644551399232</v>
      </c>
      <c r="AV33" s="115">
        <v>27.440540192528125</v>
      </c>
      <c r="AW33" s="115">
        <v>168.80414803254379</v>
      </c>
      <c r="AX33" s="117"/>
      <c r="AY33" s="167">
        <v>2.2085818073766745</v>
      </c>
      <c r="AZ33" s="10"/>
      <c r="BA33" s="131">
        <v>2.21</v>
      </c>
      <c r="BB33" s="132">
        <v>2.36</v>
      </c>
      <c r="BC33" s="132">
        <v>1.85</v>
      </c>
      <c r="BD33" s="132">
        <v>1.05</v>
      </c>
      <c r="BE33" s="132">
        <v>0.7</v>
      </c>
      <c r="BF33" s="118" t="s">
        <v>172</v>
      </c>
      <c r="BG33" s="133" t="s">
        <v>173</v>
      </c>
      <c r="BH33" s="133" t="s">
        <v>170</v>
      </c>
      <c r="BI33" s="133"/>
      <c r="BJ33" s="133"/>
      <c r="BK33" s="133"/>
      <c r="BL33" s="134" t="s">
        <v>174</v>
      </c>
      <c r="BM33" s="133"/>
      <c r="BN33" s="133"/>
      <c r="BO33" s="133">
        <v>0.6</v>
      </c>
      <c r="BP33" s="133">
        <v>0.7</v>
      </c>
      <c r="BQ33" s="133">
        <v>0.7</v>
      </c>
      <c r="BR33" s="134"/>
    </row>
    <row r="34" spans="2:70" x14ac:dyDescent="0.6">
      <c r="B34" s="75" t="s">
        <v>74</v>
      </c>
      <c r="C34" s="76" t="s">
        <v>46</v>
      </c>
      <c r="D34" s="76" t="s">
        <v>55</v>
      </c>
      <c r="E34" s="76" t="s">
        <v>48</v>
      </c>
      <c r="F34" s="76" t="s">
        <v>49</v>
      </c>
      <c r="G34" s="76" t="s">
        <v>169</v>
      </c>
      <c r="H34" s="76" t="s">
        <v>177</v>
      </c>
      <c r="I34" s="77">
        <f>VLOOKUP(H34,'Listen und Kennwerte'!$B$4:$O$11,5,FALSE)</f>
        <v>24</v>
      </c>
      <c r="J34" s="77">
        <f>VLOOKUP(H34,'Listen und Kennwerte'!$B$4:$O$11,2,FALSE)</f>
        <v>24</v>
      </c>
      <c r="K34" s="78">
        <f>VLOOKUP(H34,'Listen und Kennwerte'!$B$4:$O$11,8,FALSE)</f>
        <v>11500</v>
      </c>
      <c r="L34" s="78">
        <f>VLOOKUP(H34,'Listen und Kennwerte'!$B$4:$O$11,9,FALSE)</f>
        <v>9600</v>
      </c>
      <c r="M34" s="76" t="s">
        <v>136</v>
      </c>
      <c r="N34" s="79">
        <v>4</v>
      </c>
      <c r="O34" s="79">
        <v>0.5</v>
      </c>
      <c r="P34" s="79">
        <v>0.5</v>
      </c>
      <c r="Q34" s="76">
        <v>1</v>
      </c>
      <c r="R34" s="76" t="s">
        <v>171</v>
      </c>
      <c r="S34" s="79">
        <v>0.6</v>
      </c>
      <c r="T34" s="79">
        <v>1.3</v>
      </c>
      <c r="U34" s="80">
        <v>5821.9286283531219</v>
      </c>
      <c r="V34" s="80">
        <v>5</v>
      </c>
      <c r="W34" s="80">
        <v>180</v>
      </c>
      <c r="X34" s="81">
        <v>0</v>
      </c>
      <c r="Z34" s="11">
        <v>27.71</v>
      </c>
      <c r="AA34" s="105">
        <v>0.45</v>
      </c>
      <c r="AB34" s="105">
        <v>0.98</v>
      </c>
      <c r="AC34" s="106">
        <v>8</v>
      </c>
      <c r="AD34" s="107">
        <v>10875.62</v>
      </c>
      <c r="AE34" s="107">
        <v>23287.714513412488</v>
      </c>
      <c r="AF34" s="108"/>
      <c r="AG34" s="168">
        <v>5.54</v>
      </c>
      <c r="AI34" s="11">
        <v>8</v>
      </c>
      <c r="AJ34" s="106">
        <v>226.57542902682496</v>
      </c>
      <c r="AK34" s="106">
        <v>17.29</v>
      </c>
      <c r="AL34" s="106">
        <v>280.69</v>
      </c>
      <c r="AM34" s="106">
        <v>8</v>
      </c>
      <c r="AN34" s="106">
        <v>46.575429026824978</v>
      </c>
      <c r="AO34" s="106">
        <v>17.29</v>
      </c>
      <c r="AP34" s="106">
        <v>100.69</v>
      </c>
      <c r="AQ34" s="108"/>
      <c r="AR34" s="168">
        <v>3.79</v>
      </c>
      <c r="AT34" s="11">
        <v>8</v>
      </c>
      <c r="AU34" s="106">
        <v>226.57542902682496</v>
      </c>
      <c r="AV34" s="106">
        <v>52.237692663972716</v>
      </c>
      <c r="AW34" s="106">
        <v>484.12411839949476</v>
      </c>
      <c r="AX34" s="108"/>
      <c r="AY34" s="168">
        <v>5.5561716634333198</v>
      </c>
      <c r="AZ34" s="10"/>
      <c r="BA34" s="123">
        <v>5.56</v>
      </c>
      <c r="BB34" s="124">
        <v>6.89</v>
      </c>
      <c r="BC34" s="124">
        <v>4.54</v>
      </c>
      <c r="BD34" s="124">
        <v>2.29</v>
      </c>
      <c r="BE34" s="124">
        <v>1.44</v>
      </c>
      <c r="BF34" s="109" t="s">
        <v>255</v>
      </c>
      <c r="BG34" s="125" t="s">
        <v>173</v>
      </c>
      <c r="BH34" s="125" t="s">
        <v>170</v>
      </c>
      <c r="BI34" s="125"/>
      <c r="BJ34" s="125"/>
      <c r="BK34" s="125"/>
      <c r="BL34" s="126" t="s">
        <v>174</v>
      </c>
      <c r="BM34" s="125"/>
      <c r="BN34" s="125"/>
      <c r="BO34" s="125">
        <v>0.6</v>
      </c>
      <c r="BP34" s="125">
        <v>0.7</v>
      </c>
      <c r="BQ34" s="125">
        <v>0.8</v>
      </c>
      <c r="BR34" s="126"/>
    </row>
    <row r="35" spans="2:70" x14ac:dyDescent="0.6">
      <c r="B35" s="89" t="s">
        <v>75</v>
      </c>
      <c r="C35" s="90" t="s">
        <v>46</v>
      </c>
      <c r="D35" s="90" t="s">
        <v>55</v>
      </c>
      <c r="E35" s="90" t="s">
        <v>48</v>
      </c>
      <c r="F35" s="90" t="s">
        <v>49</v>
      </c>
      <c r="G35" s="90" t="s">
        <v>169</v>
      </c>
      <c r="H35" s="90" t="s">
        <v>177</v>
      </c>
      <c r="I35" s="91">
        <f>VLOOKUP(H35,'Listen und Kennwerte'!$B$4:$O$11,5,FALSE)</f>
        <v>24</v>
      </c>
      <c r="J35" s="91">
        <f>VLOOKUP(H35,'Listen und Kennwerte'!$B$4:$O$11,2,FALSE)</f>
        <v>24</v>
      </c>
      <c r="K35" s="92">
        <f>VLOOKUP(H35,'Listen und Kennwerte'!$B$4:$O$11,8,FALSE)</f>
        <v>11500</v>
      </c>
      <c r="L35" s="92">
        <f>VLOOKUP(H35,'Listen und Kennwerte'!$B$4:$O$11,9,FALSE)</f>
        <v>9600</v>
      </c>
      <c r="M35" s="90" t="s">
        <v>136</v>
      </c>
      <c r="N35" s="93">
        <v>4</v>
      </c>
      <c r="O35" s="93">
        <v>0.5</v>
      </c>
      <c r="P35" s="93">
        <v>0.5</v>
      </c>
      <c r="Q35" s="90">
        <v>1</v>
      </c>
      <c r="R35" s="90" t="s">
        <v>171</v>
      </c>
      <c r="S35" s="93">
        <v>0.6</v>
      </c>
      <c r="T35" s="93">
        <v>1.3</v>
      </c>
      <c r="U35" s="94">
        <v>4825.9548870162971</v>
      </c>
      <c r="V35" s="94">
        <v>5</v>
      </c>
      <c r="W35" s="94">
        <v>169.5</v>
      </c>
      <c r="X35" s="95">
        <v>0</v>
      </c>
      <c r="Z35" s="113">
        <v>27.71</v>
      </c>
      <c r="AA35" s="114">
        <v>0.45</v>
      </c>
      <c r="AB35" s="114">
        <v>0.98</v>
      </c>
      <c r="AC35" s="115">
        <v>8</v>
      </c>
      <c r="AD35" s="116">
        <v>9989.17</v>
      </c>
      <c r="AE35" s="116">
        <v>19303.819548065188</v>
      </c>
      <c r="AF35" s="117"/>
      <c r="AG35" s="167">
        <v>4.05</v>
      </c>
      <c r="AI35" s="113">
        <v>8</v>
      </c>
      <c r="AJ35" s="115">
        <v>208.10763909613038</v>
      </c>
      <c r="AK35" s="115">
        <v>16.2</v>
      </c>
      <c r="AL35" s="115">
        <v>247.69</v>
      </c>
      <c r="AM35" s="115">
        <v>8</v>
      </c>
      <c r="AN35" s="115">
        <v>38.607639096130377</v>
      </c>
      <c r="AO35" s="115">
        <v>16.2</v>
      </c>
      <c r="AP35" s="115">
        <v>78.19</v>
      </c>
      <c r="AQ35" s="117"/>
      <c r="AR35" s="167">
        <v>3.19</v>
      </c>
      <c r="AT35" s="113">
        <v>8</v>
      </c>
      <c r="AU35" s="115">
        <v>208.10763909613038</v>
      </c>
      <c r="AV35" s="115">
        <v>48.247114499672222</v>
      </c>
      <c r="AW35" s="115">
        <v>402.33839800412795</v>
      </c>
      <c r="AX35" s="117"/>
      <c r="AY35" s="167">
        <v>4.5266928121892498</v>
      </c>
      <c r="AZ35" s="10"/>
      <c r="BA35" s="131">
        <v>4.53</v>
      </c>
      <c r="BB35" s="132">
        <v>4.9800000000000004</v>
      </c>
      <c r="BC35" s="132">
        <v>3.71</v>
      </c>
      <c r="BD35" s="132">
        <v>1.91</v>
      </c>
      <c r="BE35" s="132">
        <v>1.21</v>
      </c>
      <c r="BF35" s="118" t="s">
        <v>255</v>
      </c>
      <c r="BG35" s="133" t="s">
        <v>173</v>
      </c>
      <c r="BH35" s="133" t="s">
        <v>170</v>
      </c>
      <c r="BI35" s="133"/>
      <c r="BJ35" s="133"/>
      <c r="BK35" s="133"/>
      <c r="BL35" s="134" t="s">
        <v>174</v>
      </c>
      <c r="BM35" s="133"/>
      <c r="BN35" s="133"/>
      <c r="BO35" s="133">
        <v>0.6</v>
      </c>
      <c r="BP35" s="133">
        <v>0.7</v>
      </c>
      <c r="BQ35" s="133">
        <v>0.8</v>
      </c>
      <c r="BR35" s="134"/>
    </row>
    <row r="36" spans="2:70" x14ac:dyDescent="0.6">
      <c r="B36" s="75" t="s">
        <v>76</v>
      </c>
      <c r="C36" s="76" t="s">
        <v>46</v>
      </c>
      <c r="D36" s="76" t="s">
        <v>55</v>
      </c>
      <c r="E36" s="76" t="s">
        <v>48</v>
      </c>
      <c r="F36" s="76" t="s">
        <v>49</v>
      </c>
      <c r="G36" s="76" t="s">
        <v>169</v>
      </c>
      <c r="H36" s="76" t="s">
        <v>177</v>
      </c>
      <c r="I36" s="77">
        <f>VLOOKUP(H36,'Listen und Kennwerte'!$B$4:$O$11,5,FALSE)</f>
        <v>24</v>
      </c>
      <c r="J36" s="77">
        <f>VLOOKUP(H36,'Listen und Kennwerte'!$B$4:$O$11,2,FALSE)</f>
        <v>24</v>
      </c>
      <c r="K36" s="78">
        <f>VLOOKUP(H36,'Listen und Kennwerte'!$B$4:$O$11,8,FALSE)</f>
        <v>11500</v>
      </c>
      <c r="L36" s="78">
        <f>VLOOKUP(H36,'Listen und Kennwerte'!$B$4:$O$11,9,FALSE)</f>
        <v>9600</v>
      </c>
      <c r="M36" s="76" t="s">
        <v>136</v>
      </c>
      <c r="N36" s="79">
        <v>4</v>
      </c>
      <c r="O36" s="79">
        <v>0.5</v>
      </c>
      <c r="P36" s="79">
        <v>0.5</v>
      </c>
      <c r="Q36" s="76">
        <v>1</v>
      </c>
      <c r="R36" s="76" t="s">
        <v>171</v>
      </c>
      <c r="S36" s="79">
        <v>0.6</v>
      </c>
      <c r="T36" s="79">
        <v>1.3</v>
      </c>
      <c r="U36" s="80">
        <v>4383.1560808839804</v>
      </c>
      <c r="V36" s="80">
        <v>5</v>
      </c>
      <c r="W36" s="80">
        <v>169.5</v>
      </c>
      <c r="X36" s="81">
        <v>0</v>
      </c>
      <c r="Z36" s="11">
        <v>27.71</v>
      </c>
      <c r="AA36" s="105">
        <v>0.45</v>
      </c>
      <c r="AB36" s="105">
        <v>0.98</v>
      </c>
      <c r="AC36" s="106">
        <v>8</v>
      </c>
      <c r="AD36" s="107">
        <v>9819.1299999999992</v>
      </c>
      <c r="AE36" s="107">
        <v>17532.624323535922</v>
      </c>
      <c r="AF36" s="108"/>
      <c r="AG36" s="168">
        <v>3.49</v>
      </c>
      <c r="AI36" s="11">
        <v>8</v>
      </c>
      <c r="AJ36" s="106">
        <v>204.56524864707185</v>
      </c>
      <c r="AK36" s="106">
        <v>15.92</v>
      </c>
      <c r="AL36" s="106">
        <v>239.3</v>
      </c>
      <c r="AM36" s="106">
        <v>8</v>
      </c>
      <c r="AN36" s="106">
        <v>35.065248647071847</v>
      </c>
      <c r="AO36" s="106">
        <v>15.92</v>
      </c>
      <c r="AP36" s="106">
        <v>69.8</v>
      </c>
      <c r="AQ36" s="108"/>
      <c r="AR36" s="168">
        <v>2.95</v>
      </c>
      <c r="AT36" s="11">
        <v>8</v>
      </c>
      <c r="AU36" s="106">
        <v>204.56524864707185</v>
      </c>
      <c r="AV36" s="106">
        <v>47.659590939966783</v>
      </c>
      <c r="AW36" s="106">
        <v>378.39942584095837</v>
      </c>
      <c r="AX36" s="108"/>
      <c r="AY36" s="168">
        <v>4.1564269486656542</v>
      </c>
      <c r="AZ36" s="10"/>
      <c r="BA36" s="123">
        <v>4.16</v>
      </c>
      <c r="BB36" s="124">
        <v>4.38</v>
      </c>
      <c r="BC36" s="124">
        <v>3.42</v>
      </c>
      <c r="BD36" s="124">
        <v>1.77</v>
      </c>
      <c r="BE36" s="124">
        <v>1.1200000000000001</v>
      </c>
      <c r="BF36" s="109" t="s">
        <v>255</v>
      </c>
      <c r="BG36" s="125" t="s">
        <v>173</v>
      </c>
      <c r="BH36" s="125" t="s">
        <v>170</v>
      </c>
      <c r="BI36" s="125"/>
      <c r="BJ36" s="125"/>
      <c r="BK36" s="125"/>
      <c r="BL36" s="126" t="s">
        <v>174</v>
      </c>
      <c r="BM36" s="125"/>
      <c r="BN36" s="125"/>
      <c r="BO36" s="125">
        <v>0.6</v>
      </c>
      <c r="BP36" s="125">
        <v>0.7</v>
      </c>
      <c r="BQ36" s="125">
        <v>0.8</v>
      </c>
      <c r="BR36" s="126"/>
    </row>
    <row r="37" spans="2:70" x14ac:dyDescent="0.6">
      <c r="B37" s="89" t="s">
        <v>77</v>
      </c>
      <c r="C37" s="90" t="s">
        <v>46</v>
      </c>
      <c r="D37" s="90" t="s">
        <v>55</v>
      </c>
      <c r="E37" s="90" t="s">
        <v>48</v>
      </c>
      <c r="F37" s="90" t="s">
        <v>49</v>
      </c>
      <c r="G37" s="90" t="s">
        <v>169</v>
      </c>
      <c r="H37" s="90" t="s">
        <v>177</v>
      </c>
      <c r="I37" s="91">
        <f>VLOOKUP(H37,'Listen und Kennwerte'!$B$4:$O$11,5,FALSE)</f>
        <v>24</v>
      </c>
      <c r="J37" s="91">
        <f>VLOOKUP(H37,'Listen und Kennwerte'!$B$4:$O$11,2,FALSE)</f>
        <v>24</v>
      </c>
      <c r="K37" s="92">
        <f>VLOOKUP(H37,'Listen und Kennwerte'!$B$4:$O$11,8,FALSE)</f>
        <v>11500</v>
      </c>
      <c r="L37" s="92">
        <f>VLOOKUP(H37,'Listen und Kennwerte'!$B$4:$O$11,9,FALSE)</f>
        <v>9600</v>
      </c>
      <c r="M37" s="90" t="s">
        <v>136</v>
      </c>
      <c r="N37" s="93">
        <v>4</v>
      </c>
      <c r="O37" s="93">
        <v>0.5</v>
      </c>
      <c r="P37" s="93">
        <v>0.5</v>
      </c>
      <c r="Q37" s="90">
        <v>1</v>
      </c>
      <c r="R37" s="90" t="s">
        <v>171</v>
      </c>
      <c r="S37" s="93">
        <v>0.6</v>
      </c>
      <c r="T37" s="93">
        <v>1.3</v>
      </c>
      <c r="U37" s="94">
        <v>4336.7367979774481</v>
      </c>
      <c r="V37" s="94">
        <v>5</v>
      </c>
      <c r="W37" s="94">
        <v>169.5</v>
      </c>
      <c r="X37" s="95">
        <v>0</v>
      </c>
      <c r="Z37" s="113">
        <v>27.71</v>
      </c>
      <c r="AA37" s="114">
        <v>0.45</v>
      </c>
      <c r="AB37" s="114">
        <v>0.98</v>
      </c>
      <c r="AC37" s="115">
        <v>8</v>
      </c>
      <c r="AD37" s="116">
        <v>9801.31</v>
      </c>
      <c r="AE37" s="116">
        <v>17346.947191909792</v>
      </c>
      <c r="AF37" s="117"/>
      <c r="AG37" s="167">
        <v>3.44</v>
      </c>
      <c r="AI37" s="113">
        <v>8</v>
      </c>
      <c r="AJ37" s="115">
        <v>204.19389438381958</v>
      </c>
      <c r="AK37" s="115">
        <v>15.9</v>
      </c>
      <c r="AL37" s="115">
        <v>238.43</v>
      </c>
      <c r="AM37" s="115">
        <v>8</v>
      </c>
      <c r="AN37" s="115">
        <v>34.693894383819583</v>
      </c>
      <c r="AO37" s="115">
        <v>15.9</v>
      </c>
      <c r="AP37" s="115">
        <v>68.930000000000007</v>
      </c>
      <c r="AQ37" s="117"/>
      <c r="AR37" s="167">
        <v>2.93</v>
      </c>
      <c r="AT37" s="113">
        <v>8</v>
      </c>
      <c r="AU37" s="115">
        <v>204.19389438381958</v>
      </c>
      <c r="AV37" s="115">
        <v>47.597913498067548</v>
      </c>
      <c r="AW37" s="115">
        <v>375.91962297401716</v>
      </c>
      <c r="AX37" s="117"/>
      <c r="AY37" s="167">
        <v>4.1178692964342627</v>
      </c>
      <c r="AZ37" s="10"/>
      <c r="BA37" s="131">
        <v>4.12</v>
      </c>
      <c r="BB37" s="132">
        <v>4.34</v>
      </c>
      <c r="BC37" s="132">
        <v>3.38</v>
      </c>
      <c r="BD37" s="132">
        <v>1.75</v>
      </c>
      <c r="BE37" s="132">
        <v>1.1100000000000001</v>
      </c>
      <c r="BF37" s="118" t="s">
        <v>255</v>
      </c>
      <c r="BG37" s="133" t="s">
        <v>173</v>
      </c>
      <c r="BH37" s="133" t="s">
        <v>170</v>
      </c>
      <c r="BI37" s="133"/>
      <c r="BJ37" s="133"/>
      <c r="BK37" s="133"/>
      <c r="BL37" s="134" t="s">
        <v>174</v>
      </c>
      <c r="BM37" s="133"/>
      <c r="BN37" s="133"/>
      <c r="BO37" s="133">
        <v>0.6</v>
      </c>
      <c r="BP37" s="133">
        <v>0.7</v>
      </c>
      <c r="BQ37" s="133">
        <v>0.8</v>
      </c>
      <c r="BR37" s="134"/>
    </row>
    <row r="38" spans="2:70" x14ac:dyDescent="0.6">
      <c r="B38" s="75" t="s">
        <v>78</v>
      </c>
      <c r="C38" s="76" t="s">
        <v>46</v>
      </c>
      <c r="D38" s="76" t="s">
        <v>47</v>
      </c>
      <c r="E38" s="76" t="s">
        <v>48</v>
      </c>
      <c r="F38" s="76" t="s">
        <v>49</v>
      </c>
      <c r="G38" s="76" t="s">
        <v>169</v>
      </c>
      <c r="H38" s="76" t="s">
        <v>177</v>
      </c>
      <c r="I38" s="77">
        <f>VLOOKUP(H38,'Listen und Kennwerte'!$B$4:$O$11,5,FALSE)</f>
        <v>24</v>
      </c>
      <c r="J38" s="77">
        <f>VLOOKUP(H38,'Listen und Kennwerte'!$B$4:$O$11,2,FALSE)</f>
        <v>24</v>
      </c>
      <c r="K38" s="78">
        <f>VLOOKUP(H38,'Listen und Kennwerte'!$B$4:$O$11,8,FALSE)</f>
        <v>11500</v>
      </c>
      <c r="L38" s="78">
        <f>VLOOKUP(H38,'Listen und Kennwerte'!$B$4:$O$11,9,FALSE)</f>
        <v>9600</v>
      </c>
      <c r="M38" s="76" t="s">
        <v>136</v>
      </c>
      <c r="N38" s="79">
        <v>7.8</v>
      </c>
      <c r="O38" s="79">
        <v>0.6</v>
      </c>
      <c r="P38" s="79">
        <v>0.6</v>
      </c>
      <c r="Q38" s="76">
        <v>1</v>
      </c>
      <c r="R38" s="76" t="s">
        <v>171</v>
      </c>
      <c r="S38" s="79">
        <v>0.6</v>
      </c>
      <c r="T38" s="79">
        <v>1.3</v>
      </c>
      <c r="U38" s="80">
        <v>3052.7612273696118</v>
      </c>
      <c r="V38" s="80">
        <v>5</v>
      </c>
      <c r="W38" s="80">
        <v>0</v>
      </c>
      <c r="X38" s="81">
        <v>0</v>
      </c>
      <c r="Z38" s="11">
        <v>45.03</v>
      </c>
      <c r="AA38" s="105">
        <v>0.72</v>
      </c>
      <c r="AB38" s="105">
        <v>0.92</v>
      </c>
      <c r="AC38" s="106">
        <v>15.6</v>
      </c>
      <c r="AD38" s="107">
        <v>1322.86</v>
      </c>
      <c r="AE38" s="107">
        <v>8479.8922982489221</v>
      </c>
      <c r="AF38" s="108"/>
      <c r="AG38" s="168">
        <v>0.79</v>
      </c>
      <c r="AI38" s="11">
        <v>15.6</v>
      </c>
      <c r="AJ38" s="106">
        <v>47.623075146965945</v>
      </c>
      <c r="AK38" s="106">
        <v>19.149999999999999</v>
      </c>
      <c r="AL38" s="106">
        <v>58.46</v>
      </c>
      <c r="AM38" s="106">
        <v>15.6</v>
      </c>
      <c r="AN38" s="106">
        <v>47.623075146965945</v>
      </c>
      <c r="AO38" s="106">
        <v>19.149999999999999</v>
      </c>
      <c r="AP38" s="106">
        <v>58.46</v>
      </c>
      <c r="AQ38" s="108"/>
      <c r="AR38" s="168">
        <v>1.1200000000000001</v>
      </c>
      <c r="AT38" s="11">
        <v>15.6</v>
      </c>
      <c r="AU38" s="106">
        <v>47.623075146965945</v>
      </c>
      <c r="AV38" s="106">
        <v>18.385735240150456</v>
      </c>
      <c r="AW38" s="106">
        <v>56.127259677814422</v>
      </c>
      <c r="AX38" s="108"/>
      <c r="AY38" s="168">
        <v>1.1100871952357561</v>
      </c>
      <c r="AZ38" s="10"/>
      <c r="BA38" s="123">
        <v>1.1200000000000001</v>
      </c>
      <c r="BB38" s="124">
        <v>1.23</v>
      </c>
      <c r="BC38" s="124">
        <v>0.96</v>
      </c>
      <c r="BD38" s="124">
        <v>0.78</v>
      </c>
      <c r="BE38" s="124"/>
      <c r="BF38" s="109" t="s">
        <v>172</v>
      </c>
      <c r="BG38" s="125" t="s">
        <v>173</v>
      </c>
      <c r="BH38" s="125" t="s">
        <v>170</v>
      </c>
      <c r="BI38" s="125"/>
      <c r="BJ38" s="125"/>
      <c r="BK38" s="125"/>
      <c r="BL38" s="126" t="s">
        <v>174</v>
      </c>
      <c r="BM38" s="125"/>
      <c r="BN38" s="125"/>
      <c r="BO38" s="125">
        <v>0.65</v>
      </c>
      <c r="BP38" s="125"/>
      <c r="BQ38" s="125"/>
      <c r="BR38" s="126"/>
    </row>
    <row r="39" spans="2:70" x14ac:dyDescent="0.6">
      <c r="B39" s="89" t="s">
        <v>79</v>
      </c>
      <c r="C39" s="90" t="s">
        <v>46</v>
      </c>
      <c r="D39" s="90" t="s">
        <v>47</v>
      </c>
      <c r="E39" s="90" t="s">
        <v>48</v>
      </c>
      <c r="F39" s="90" t="s">
        <v>49</v>
      </c>
      <c r="G39" s="90" t="s">
        <v>169</v>
      </c>
      <c r="H39" s="90" t="s">
        <v>177</v>
      </c>
      <c r="I39" s="91">
        <f>VLOOKUP(H39,'Listen und Kennwerte'!$B$4:$O$11,5,FALSE)</f>
        <v>24</v>
      </c>
      <c r="J39" s="91">
        <f>VLOOKUP(H39,'Listen und Kennwerte'!$B$4:$O$11,2,FALSE)</f>
        <v>24</v>
      </c>
      <c r="K39" s="92">
        <f>VLOOKUP(H39,'Listen und Kennwerte'!$B$4:$O$11,8,FALSE)</f>
        <v>11500</v>
      </c>
      <c r="L39" s="92">
        <f>VLOOKUP(H39,'Listen und Kennwerte'!$B$4:$O$11,9,FALSE)</f>
        <v>9600</v>
      </c>
      <c r="M39" s="90" t="s">
        <v>136</v>
      </c>
      <c r="N39" s="93">
        <v>7.8</v>
      </c>
      <c r="O39" s="93">
        <v>0.6</v>
      </c>
      <c r="P39" s="93">
        <v>0.6</v>
      </c>
      <c r="Q39" s="90">
        <v>1</v>
      </c>
      <c r="R39" s="90" t="s">
        <v>171</v>
      </c>
      <c r="S39" s="93">
        <v>0.6</v>
      </c>
      <c r="T39" s="93">
        <v>1.3</v>
      </c>
      <c r="U39" s="94">
        <v>3901.5090693953666</v>
      </c>
      <c r="V39" s="94">
        <v>5</v>
      </c>
      <c r="W39" s="94">
        <v>0</v>
      </c>
      <c r="X39" s="95">
        <v>0</v>
      </c>
      <c r="Z39" s="113">
        <v>45.03</v>
      </c>
      <c r="AA39" s="114">
        <v>0.72</v>
      </c>
      <c r="AB39" s="114">
        <v>0.92</v>
      </c>
      <c r="AC39" s="115">
        <v>15.6</v>
      </c>
      <c r="AD39" s="116">
        <v>1690.65</v>
      </c>
      <c r="AE39" s="116">
        <v>10837.525192764908</v>
      </c>
      <c r="AF39" s="117"/>
      <c r="AG39" s="167">
        <v>1.21</v>
      </c>
      <c r="AI39" s="113">
        <v>15.6</v>
      </c>
      <c r="AJ39" s="115">
        <v>60.863541482567719</v>
      </c>
      <c r="AK39" s="115">
        <v>20.440000000000001</v>
      </c>
      <c r="AL39" s="115">
        <v>79.760000000000005</v>
      </c>
      <c r="AM39" s="115">
        <v>15.6</v>
      </c>
      <c r="AN39" s="115">
        <v>60.863541482567719</v>
      </c>
      <c r="AO39" s="115">
        <v>20.440000000000001</v>
      </c>
      <c r="AP39" s="115">
        <v>79.760000000000005</v>
      </c>
      <c r="AQ39" s="117"/>
      <c r="AR39" s="167">
        <v>1.46</v>
      </c>
      <c r="AT39" s="113">
        <v>15.6</v>
      </c>
      <c r="AU39" s="115">
        <v>60.863541482567719</v>
      </c>
      <c r="AV39" s="115">
        <v>19.34676854370127</v>
      </c>
      <c r="AW39" s="115">
        <v>75.481592936743482</v>
      </c>
      <c r="AX39" s="117"/>
      <c r="AY39" s="167">
        <v>1.4375258696095639</v>
      </c>
      <c r="AZ39" s="10"/>
      <c r="BA39" s="131">
        <v>1.46</v>
      </c>
      <c r="BB39" s="132">
        <v>1.59</v>
      </c>
      <c r="BC39" s="132">
        <v>1.25</v>
      </c>
      <c r="BD39" s="132">
        <v>0.84</v>
      </c>
      <c r="BE39" s="132">
        <v>0.71</v>
      </c>
      <c r="BF39" s="118" t="s">
        <v>172</v>
      </c>
      <c r="BG39" s="133" t="s">
        <v>173</v>
      </c>
      <c r="BH39" s="133" t="s">
        <v>170</v>
      </c>
      <c r="BI39" s="133"/>
      <c r="BJ39" s="133"/>
      <c r="BK39" s="133"/>
      <c r="BL39" s="134" t="s">
        <v>174</v>
      </c>
      <c r="BM39" s="133"/>
      <c r="BN39" s="133"/>
      <c r="BO39" s="133">
        <v>0.7</v>
      </c>
      <c r="BP39" s="133">
        <v>0.75</v>
      </c>
      <c r="BQ39" s="133">
        <v>0.75</v>
      </c>
      <c r="BR39" s="134"/>
    </row>
    <row r="40" spans="2:70" x14ac:dyDescent="0.6">
      <c r="B40" s="75" t="s">
        <v>80</v>
      </c>
      <c r="C40" s="76" t="s">
        <v>46</v>
      </c>
      <c r="D40" s="76" t="s">
        <v>47</v>
      </c>
      <c r="E40" s="76" t="s">
        <v>48</v>
      </c>
      <c r="F40" s="76" t="s">
        <v>49</v>
      </c>
      <c r="G40" s="76" t="s">
        <v>169</v>
      </c>
      <c r="H40" s="76" t="s">
        <v>177</v>
      </c>
      <c r="I40" s="77">
        <f>VLOOKUP(H40,'Listen und Kennwerte'!$B$4:$O$11,5,FALSE)</f>
        <v>24</v>
      </c>
      <c r="J40" s="77">
        <f>VLOOKUP(H40,'Listen und Kennwerte'!$B$4:$O$11,2,FALSE)</f>
        <v>24</v>
      </c>
      <c r="K40" s="78">
        <f>VLOOKUP(H40,'Listen und Kennwerte'!$B$4:$O$11,8,FALSE)</f>
        <v>11500</v>
      </c>
      <c r="L40" s="78">
        <f>VLOOKUP(H40,'Listen und Kennwerte'!$B$4:$O$11,9,FALSE)</f>
        <v>9600</v>
      </c>
      <c r="M40" s="76" t="s">
        <v>136</v>
      </c>
      <c r="N40" s="79">
        <v>7.8</v>
      </c>
      <c r="O40" s="79">
        <v>0.6</v>
      </c>
      <c r="P40" s="79">
        <v>0.6</v>
      </c>
      <c r="Q40" s="76">
        <v>1</v>
      </c>
      <c r="R40" s="76" t="s">
        <v>171</v>
      </c>
      <c r="S40" s="79">
        <v>0.6</v>
      </c>
      <c r="T40" s="79">
        <v>1.3</v>
      </c>
      <c r="U40" s="80">
        <v>3816.5474056533039</v>
      </c>
      <c r="V40" s="80">
        <v>5</v>
      </c>
      <c r="W40" s="80">
        <v>0</v>
      </c>
      <c r="X40" s="81">
        <v>0</v>
      </c>
      <c r="Z40" s="11">
        <v>45.03</v>
      </c>
      <c r="AA40" s="105">
        <v>0.72</v>
      </c>
      <c r="AB40" s="105">
        <v>0.92</v>
      </c>
      <c r="AC40" s="106">
        <v>15.6</v>
      </c>
      <c r="AD40" s="107">
        <v>1653.84</v>
      </c>
      <c r="AE40" s="107">
        <v>10601.520571259178</v>
      </c>
      <c r="AF40" s="108"/>
      <c r="AG40" s="168">
        <v>1.17</v>
      </c>
      <c r="AI40" s="11">
        <v>15.6</v>
      </c>
      <c r="AJ40" s="106">
        <v>59.538139528191536</v>
      </c>
      <c r="AK40" s="106">
        <v>20.309999999999999</v>
      </c>
      <c r="AL40" s="106">
        <v>77.5</v>
      </c>
      <c r="AM40" s="106">
        <v>15.6</v>
      </c>
      <c r="AN40" s="106">
        <v>59.538139528191536</v>
      </c>
      <c r="AO40" s="106">
        <v>20.309999999999999</v>
      </c>
      <c r="AP40" s="106">
        <v>77.5</v>
      </c>
      <c r="AQ40" s="108"/>
      <c r="AR40" s="168">
        <v>1.42</v>
      </c>
      <c r="AT40" s="11">
        <v>15.6</v>
      </c>
      <c r="AU40" s="106">
        <v>59.538139528191536</v>
      </c>
      <c r="AV40" s="106">
        <v>19.245919789261023</v>
      </c>
      <c r="AW40" s="106">
        <v>73.452965241115706</v>
      </c>
      <c r="AX40" s="108"/>
      <c r="AY40" s="168">
        <v>1.4042910111722888</v>
      </c>
      <c r="AZ40" s="10"/>
      <c r="BA40" s="123">
        <v>1.42</v>
      </c>
      <c r="BB40" s="124">
        <v>1.56</v>
      </c>
      <c r="BC40" s="124">
        <v>1.22</v>
      </c>
      <c r="BD40" s="124">
        <v>0.82</v>
      </c>
      <c r="BE40" s="124"/>
      <c r="BF40" s="109" t="s">
        <v>172</v>
      </c>
      <c r="BG40" s="125" t="s">
        <v>173</v>
      </c>
      <c r="BH40" s="125" t="s">
        <v>170</v>
      </c>
      <c r="BI40" s="125"/>
      <c r="BJ40" s="125"/>
      <c r="BK40" s="125"/>
      <c r="BL40" s="126" t="s">
        <v>174</v>
      </c>
      <c r="BM40" s="125"/>
      <c r="BN40" s="125"/>
      <c r="BO40" s="125">
        <v>0.7</v>
      </c>
      <c r="BP40" s="125"/>
      <c r="BQ40" s="125"/>
      <c r="BR40" s="126"/>
    </row>
    <row r="41" spans="2:70" x14ac:dyDescent="0.6">
      <c r="B41" s="89" t="s">
        <v>81</v>
      </c>
      <c r="C41" s="90" t="s">
        <v>46</v>
      </c>
      <c r="D41" s="90" t="s">
        <v>47</v>
      </c>
      <c r="E41" s="90" t="s">
        <v>48</v>
      </c>
      <c r="F41" s="90" t="s">
        <v>49</v>
      </c>
      <c r="G41" s="90" t="s">
        <v>169</v>
      </c>
      <c r="H41" s="90" t="s">
        <v>177</v>
      </c>
      <c r="I41" s="91">
        <f>VLOOKUP(H41,'Listen und Kennwerte'!$B$4:$O$11,5,FALSE)</f>
        <v>24</v>
      </c>
      <c r="J41" s="91">
        <f>VLOOKUP(H41,'Listen und Kennwerte'!$B$4:$O$11,2,FALSE)</f>
        <v>24</v>
      </c>
      <c r="K41" s="92">
        <f>VLOOKUP(H41,'Listen und Kennwerte'!$B$4:$O$11,8,FALSE)</f>
        <v>11500</v>
      </c>
      <c r="L41" s="92">
        <f>VLOOKUP(H41,'Listen und Kennwerte'!$B$4:$O$11,9,FALSE)</f>
        <v>9600</v>
      </c>
      <c r="M41" s="90" t="s">
        <v>136</v>
      </c>
      <c r="N41" s="93">
        <v>7.8</v>
      </c>
      <c r="O41" s="93">
        <v>0.6</v>
      </c>
      <c r="P41" s="93">
        <v>0.6</v>
      </c>
      <c r="Q41" s="90">
        <v>1</v>
      </c>
      <c r="R41" s="90" t="s">
        <v>171</v>
      </c>
      <c r="S41" s="93">
        <v>0.6</v>
      </c>
      <c r="T41" s="93">
        <v>1.3</v>
      </c>
      <c r="U41" s="94">
        <v>3804.0222902968571</v>
      </c>
      <c r="V41" s="94">
        <v>5</v>
      </c>
      <c r="W41" s="94">
        <v>0</v>
      </c>
      <c r="X41" s="95">
        <v>0</v>
      </c>
      <c r="Z41" s="113">
        <v>45.03</v>
      </c>
      <c r="AA41" s="114">
        <v>0.72</v>
      </c>
      <c r="AB41" s="114">
        <v>0.92</v>
      </c>
      <c r="AC41" s="115">
        <v>15.6</v>
      </c>
      <c r="AD41" s="116">
        <v>1648.41</v>
      </c>
      <c r="AE41" s="116">
        <v>10566.728584157936</v>
      </c>
      <c r="AF41" s="117"/>
      <c r="AG41" s="167">
        <v>1.1599999999999999</v>
      </c>
      <c r="AI41" s="113">
        <v>15.6</v>
      </c>
      <c r="AJ41" s="115">
        <v>59.342747728630968</v>
      </c>
      <c r="AK41" s="115">
        <v>20.29</v>
      </c>
      <c r="AL41" s="115">
        <v>77.17</v>
      </c>
      <c r="AM41" s="115">
        <v>15.6</v>
      </c>
      <c r="AN41" s="115">
        <v>59.342747728630968</v>
      </c>
      <c r="AO41" s="115">
        <v>20.29</v>
      </c>
      <c r="AP41" s="115">
        <v>77.17</v>
      </c>
      <c r="AQ41" s="117"/>
      <c r="AR41" s="167">
        <v>1.42</v>
      </c>
      <c r="AT41" s="113">
        <v>15.6</v>
      </c>
      <c r="AU41" s="115">
        <v>59.342747728630968</v>
      </c>
      <c r="AV41" s="115">
        <v>19.231721895159641</v>
      </c>
      <c r="AW41" s="115">
        <v>73.157898769977393</v>
      </c>
      <c r="AX41" s="117"/>
      <c r="AY41" s="167">
        <v>1.3994115409385797</v>
      </c>
      <c r="AZ41" s="10"/>
      <c r="BA41" s="131">
        <v>1.42</v>
      </c>
      <c r="BB41" s="132">
        <v>1.55</v>
      </c>
      <c r="BC41" s="132">
        <v>1.21</v>
      </c>
      <c r="BD41" s="132">
        <v>0.81</v>
      </c>
      <c r="BE41" s="132"/>
      <c r="BF41" s="118" t="s">
        <v>172</v>
      </c>
      <c r="BG41" s="133" t="s">
        <v>173</v>
      </c>
      <c r="BH41" s="133" t="s">
        <v>170</v>
      </c>
      <c r="BI41" s="133"/>
      <c r="BJ41" s="133"/>
      <c r="BK41" s="133"/>
      <c r="BL41" s="134" t="s">
        <v>174</v>
      </c>
      <c r="BM41" s="133"/>
      <c r="BN41" s="133"/>
      <c r="BO41" s="133">
        <v>0.7</v>
      </c>
      <c r="BP41" s="133"/>
      <c r="BQ41" s="133"/>
      <c r="BR41" s="134"/>
    </row>
    <row r="42" spans="2:70" x14ac:dyDescent="0.6">
      <c r="B42" s="75" t="s">
        <v>82</v>
      </c>
      <c r="C42" s="76" t="s">
        <v>46</v>
      </c>
      <c r="D42" s="76" t="s">
        <v>47</v>
      </c>
      <c r="E42" s="76" t="s">
        <v>48</v>
      </c>
      <c r="F42" s="76" t="s">
        <v>49</v>
      </c>
      <c r="G42" s="76" t="s">
        <v>169</v>
      </c>
      <c r="H42" s="76" t="s">
        <v>177</v>
      </c>
      <c r="I42" s="77">
        <f>VLOOKUP(H42,'Listen und Kennwerte'!$B$4:$O$11,5,FALSE)</f>
        <v>24</v>
      </c>
      <c r="J42" s="77">
        <f>VLOOKUP(H42,'Listen und Kennwerte'!$B$4:$O$11,2,FALSE)</f>
        <v>24</v>
      </c>
      <c r="K42" s="78">
        <f>VLOOKUP(H42,'Listen und Kennwerte'!$B$4:$O$11,8,FALSE)</f>
        <v>11500</v>
      </c>
      <c r="L42" s="78">
        <f>VLOOKUP(H42,'Listen und Kennwerte'!$B$4:$O$11,9,FALSE)</f>
        <v>9600</v>
      </c>
      <c r="M42" s="76" t="s">
        <v>136</v>
      </c>
      <c r="N42" s="79">
        <v>7.8</v>
      </c>
      <c r="O42" s="79">
        <v>0.6</v>
      </c>
      <c r="P42" s="79">
        <v>0.6</v>
      </c>
      <c r="Q42" s="76">
        <v>1</v>
      </c>
      <c r="R42" s="76" t="s">
        <v>171</v>
      </c>
      <c r="S42" s="79">
        <v>0.6</v>
      </c>
      <c r="T42" s="79">
        <v>1.3</v>
      </c>
      <c r="U42" s="80">
        <v>3773.9549729445657</v>
      </c>
      <c r="V42" s="80">
        <v>5</v>
      </c>
      <c r="W42" s="80">
        <v>0</v>
      </c>
      <c r="X42" s="81">
        <v>0</v>
      </c>
      <c r="Z42" s="11">
        <v>45.03</v>
      </c>
      <c r="AA42" s="105">
        <v>0.72</v>
      </c>
      <c r="AB42" s="105">
        <v>0.92</v>
      </c>
      <c r="AC42" s="106">
        <v>15.6</v>
      </c>
      <c r="AD42" s="107">
        <v>1635.38</v>
      </c>
      <c r="AE42" s="107">
        <v>10483.208258179349</v>
      </c>
      <c r="AF42" s="108"/>
      <c r="AG42" s="168">
        <v>1.1399999999999999</v>
      </c>
      <c r="AI42" s="11">
        <v>15.6</v>
      </c>
      <c r="AJ42" s="106">
        <v>58.873697577935225</v>
      </c>
      <c r="AK42" s="106">
        <v>20.239999999999998</v>
      </c>
      <c r="AL42" s="106">
        <v>76.38</v>
      </c>
      <c r="AM42" s="106">
        <v>15.6</v>
      </c>
      <c r="AN42" s="106">
        <v>58.873697577935225</v>
      </c>
      <c r="AO42" s="106">
        <v>20.239999999999998</v>
      </c>
      <c r="AP42" s="106">
        <v>76.38</v>
      </c>
      <c r="AQ42" s="108"/>
      <c r="AR42" s="168">
        <v>1.41</v>
      </c>
      <c r="AT42" s="11">
        <v>15.6</v>
      </c>
      <c r="AU42" s="106">
        <v>58.873697577935225</v>
      </c>
      <c r="AV42" s="106">
        <v>19.195473459687882</v>
      </c>
      <c r="AW42" s="106">
        <v>72.442852521214519</v>
      </c>
      <c r="AX42" s="108"/>
      <c r="AY42" s="168">
        <v>1.3876643615694861</v>
      </c>
      <c r="AZ42" s="10"/>
      <c r="BA42" s="123">
        <v>1.41</v>
      </c>
      <c r="BB42" s="124">
        <v>1.54</v>
      </c>
      <c r="BC42" s="124">
        <v>1.2</v>
      </c>
      <c r="BD42" s="124">
        <v>0.81</v>
      </c>
      <c r="BE42" s="124"/>
      <c r="BF42" s="109" t="s">
        <v>172</v>
      </c>
      <c r="BG42" s="125" t="s">
        <v>173</v>
      </c>
      <c r="BH42" s="125" t="s">
        <v>170</v>
      </c>
      <c r="BI42" s="125"/>
      <c r="BJ42" s="125"/>
      <c r="BK42" s="125"/>
      <c r="BL42" s="126" t="s">
        <v>174</v>
      </c>
      <c r="BM42" s="125"/>
      <c r="BN42" s="125"/>
      <c r="BO42" s="125">
        <v>0.7</v>
      </c>
      <c r="BP42" s="125"/>
      <c r="BQ42" s="125"/>
      <c r="BR42" s="126"/>
    </row>
    <row r="43" spans="2:70" x14ac:dyDescent="0.6">
      <c r="B43" s="89" t="s">
        <v>83</v>
      </c>
      <c r="C43" s="90" t="s">
        <v>46</v>
      </c>
      <c r="D43" s="90" t="s">
        <v>55</v>
      </c>
      <c r="E43" s="90" t="s">
        <v>48</v>
      </c>
      <c r="F43" s="90" t="s">
        <v>49</v>
      </c>
      <c r="G43" s="90" t="s">
        <v>169</v>
      </c>
      <c r="H43" s="90" t="s">
        <v>177</v>
      </c>
      <c r="I43" s="91">
        <f>VLOOKUP(H43,'Listen und Kennwerte'!$B$4:$O$11,5,FALSE)</f>
        <v>24</v>
      </c>
      <c r="J43" s="91">
        <f>VLOOKUP(H43,'Listen und Kennwerte'!$B$4:$O$11,2,FALSE)</f>
        <v>24</v>
      </c>
      <c r="K43" s="92">
        <f>VLOOKUP(H43,'Listen und Kennwerte'!$B$4:$O$11,8,FALSE)</f>
        <v>11500</v>
      </c>
      <c r="L43" s="92">
        <f>VLOOKUP(H43,'Listen und Kennwerte'!$B$4:$O$11,9,FALSE)</f>
        <v>9600</v>
      </c>
      <c r="M43" s="90" t="s">
        <v>136</v>
      </c>
      <c r="N43" s="93">
        <v>4</v>
      </c>
      <c r="O43" s="93">
        <v>0.5</v>
      </c>
      <c r="P43" s="93">
        <v>0.5</v>
      </c>
      <c r="Q43" s="90">
        <v>1</v>
      </c>
      <c r="R43" s="90" t="s">
        <v>171</v>
      </c>
      <c r="S43" s="93">
        <v>0.6</v>
      </c>
      <c r="T43" s="93">
        <v>1.3</v>
      </c>
      <c r="U43" s="94">
        <v>4282.6421016826616</v>
      </c>
      <c r="V43" s="94">
        <v>5</v>
      </c>
      <c r="W43" s="94">
        <v>139.5</v>
      </c>
      <c r="X43" s="95">
        <v>0</v>
      </c>
      <c r="Z43" s="113">
        <v>27.71</v>
      </c>
      <c r="AA43" s="114">
        <v>0.45</v>
      </c>
      <c r="AB43" s="114">
        <v>0.98</v>
      </c>
      <c r="AC43" s="115">
        <v>8</v>
      </c>
      <c r="AD43" s="116">
        <v>8340.5300000000007</v>
      </c>
      <c r="AE43" s="116">
        <v>17130.568406730647</v>
      </c>
      <c r="AF43" s="117"/>
      <c r="AG43" s="167">
        <v>3.24</v>
      </c>
      <c r="AI43" s="113">
        <v>8</v>
      </c>
      <c r="AJ43" s="115">
        <v>173.76113681346129</v>
      </c>
      <c r="AK43" s="115">
        <v>14.7</v>
      </c>
      <c r="AL43" s="115">
        <v>202.47</v>
      </c>
      <c r="AM43" s="115">
        <v>8</v>
      </c>
      <c r="AN43" s="115">
        <v>34.261136813461292</v>
      </c>
      <c r="AO43" s="115">
        <v>14.7</v>
      </c>
      <c r="AP43" s="115">
        <v>62.97</v>
      </c>
      <c r="AQ43" s="117"/>
      <c r="AR43" s="167">
        <v>2.72</v>
      </c>
      <c r="AT43" s="113">
        <v>8</v>
      </c>
      <c r="AU43" s="115">
        <v>173.76113681346129</v>
      </c>
      <c r="AV43" s="115">
        <v>40.694730200461528</v>
      </c>
      <c r="AW43" s="115">
        <v>313.78096487311348</v>
      </c>
      <c r="AX43" s="117"/>
      <c r="AY43" s="167">
        <v>3.6894463700767353</v>
      </c>
      <c r="AZ43" s="10"/>
      <c r="BA43" s="131">
        <v>3.69</v>
      </c>
      <c r="BB43" s="132">
        <v>3.98</v>
      </c>
      <c r="BC43" s="132">
        <v>3.04</v>
      </c>
      <c r="BD43" s="132">
        <v>1.62</v>
      </c>
      <c r="BE43" s="132">
        <v>1.04</v>
      </c>
      <c r="BF43" s="118" t="s">
        <v>255</v>
      </c>
      <c r="BG43" s="133" t="s">
        <v>173</v>
      </c>
      <c r="BH43" s="133" t="s">
        <v>170</v>
      </c>
      <c r="BI43" s="133"/>
      <c r="BJ43" s="133"/>
      <c r="BK43" s="133"/>
      <c r="BL43" s="134" t="s">
        <v>174</v>
      </c>
      <c r="BM43" s="133"/>
      <c r="BN43" s="133"/>
      <c r="BO43" s="133">
        <v>0.6</v>
      </c>
      <c r="BP43" s="133">
        <v>0.7</v>
      </c>
      <c r="BQ43" s="133">
        <v>0.8</v>
      </c>
      <c r="BR43" s="134"/>
    </row>
    <row r="44" spans="2:70" x14ac:dyDescent="0.6">
      <c r="B44" s="75" t="s">
        <v>84</v>
      </c>
      <c r="C44" s="76" t="s">
        <v>46</v>
      </c>
      <c r="D44" s="76" t="s">
        <v>47</v>
      </c>
      <c r="E44" s="76" t="s">
        <v>48</v>
      </c>
      <c r="F44" s="76" t="s">
        <v>49</v>
      </c>
      <c r="G44" s="76" t="s">
        <v>169</v>
      </c>
      <c r="H44" s="76" t="s">
        <v>177</v>
      </c>
      <c r="I44" s="77">
        <f>VLOOKUP(H44,'Listen und Kennwerte'!$B$4:$O$11,5,FALSE)</f>
        <v>24</v>
      </c>
      <c r="J44" s="77">
        <f>VLOOKUP(H44,'Listen und Kennwerte'!$B$4:$O$11,2,FALSE)</f>
        <v>24</v>
      </c>
      <c r="K44" s="78">
        <f>VLOOKUP(H44,'Listen und Kennwerte'!$B$4:$O$11,8,FALSE)</f>
        <v>11500</v>
      </c>
      <c r="L44" s="78">
        <f>VLOOKUP(H44,'Listen und Kennwerte'!$B$4:$O$11,9,FALSE)</f>
        <v>9600</v>
      </c>
      <c r="M44" s="76" t="s">
        <v>136</v>
      </c>
      <c r="N44" s="79">
        <v>11.2</v>
      </c>
      <c r="O44" s="79">
        <v>0.6</v>
      </c>
      <c r="P44" s="79">
        <v>0.6</v>
      </c>
      <c r="Q44" s="76">
        <v>1</v>
      </c>
      <c r="R44" s="76" t="s">
        <v>171</v>
      </c>
      <c r="S44" s="79">
        <v>0.6</v>
      </c>
      <c r="T44" s="79">
        <v>1.3</v>
      </c>
      <c r="U44" s="80">
        <v>4123.5170995082062</v>
      </c>
      <c r="V44" s="80">
        <v>5</v>
      </c>
      <c r="W44" s="80">
        <v>0</v>
      </c>
      <c r="X44" s="81">
        <v>0</v>
      </c>
      <c r="Z44" s="11">
        <v>64.66</v>
      </c>
      <c r="AA44" s="105">
        <v>1.04</v>
      </c>
      <c r="AB44" s="105">
        <v>0.73</v>
      </c>
      <c r="AC44" s="106">
        <v>22.4</v>
      </c>
      <c r="AD44" s="107">
        <v>2565.7399999999998</v>
      </c>
      <c r="AE44" s="107">
        <v>11454.214165300573</v>
      </c>
      <c r="AF44" s="108"/>
      <c r="AG44" s="168">
        <v>1.46</v>
      </c>
      <c r="AI44" s="11">
        <v>22.4</v>
      </c>
      <c r="AJ44" s="106">
        <v>92.366783028983818</v>
      </c>
      <c r="AK44" s="106">
        <v>46.24</v>
      </c>
      <c r="AL44" s="106">
        <v>190.68</v>
      </c>
      <c r="AM44" s="106">
        <v>22.4</v>
      </c>
      <c r="AN44" s="106">
        <v>92.366783028983818</v>
      </c>
      <c r="AO44" s="106">
        <v>46.24</v>
      </c>
      <c r="AP44" s="106">
        <v>190.68</v>
      </c>
      <c r="AQ44" s="108"/>
      <c r="AR44" s="168">
        <v>2.36</v>
      </c>
      <c r="AT44" s="11">
        <v>22.4</v>
      </c>
      <c r="AU44" s="106">
        <v>92.366783028983818</v>
      </c>
      <c r="AV44" s="106">
        <v>38.840632106158807</v>
      </c>
      <c r="AW44" s="106">
        <v>160.16001064545324</v>
      </c>
      <c r="AX44" s="108"/>
      <c r="AY44" s="168">
        <v>2.2104173895028207</v>
      </c>
      <c r="AZ44" s="10"/>
      <c r="BA44" s="123">
        <v>2.36</v>
      </c>
      <c r="BB44" s="124">
        <v>2.4500000000000002</v>
      </c>
      <c r="BC44" s="124">
        <v>1.98</v>
      </c>
      <c r="BD44" s="124">
        <v>1.1100000000000001</v>
      </c>
      <c r="BE44" s="124">
        <v>0.75</v>
      </c>
      <c r="BF44" s="109" t="s">
        <v>172</v>
      </c>
      <c r="BG44" s="125" t="s">
        <v>173</v>
      </c>
      <c r="BH44" s="125" t="s">
        <v>170</v>
      </c>
      <c r="BI44" s="125"/>
      <c r="BJ44" s="125"/>
      <c r="BK44" s="125"/>
      <c r="BL44" s="126" t="s">
        <v>174</v>
      </c>
      <c r="BM44" s="125"/>
      <c r="BN44" s="125"/>
      <c r="BO44" s="125">
        <v>0.7</v>
      </c>
      <c r="BP44" s="125">
        <v>0.8</v>
      </c>
      <c r="BQ44" s="125">
        <v>0.8</v>
      </c>
      <c r="BR44" s="126" t="s">
        <v>174</v>
      </c>
    </row>
    <row r="45" spans="2:70" x14ac:dyDescent="0.6">
      <c r="B45" s="89" t="s">
        <v>85</v>
      </c>
      <c r="C45" s="90" t="s">
        <v>46</v>
      </c>
      <c r="D45" s="90" t="s">
        <v>47</v>
      </c>
      <c r="E45" s="90" t="s">
        <v>48</v>
      </c>
      <c r="F45" s="90" t="s">
        <v>49</v>
      </c>
      <c r="G45" s="90" t="s">
        <v>169</v>
      </c>
      <c r="H45" s="90" t="s">
        <v>177</v>
      </c>
      <c r="I45" s="91">
        <f>VLOOKUP(H45,'Listen und Kennwerte'!$B$4:$O$11,5,FALSE)</f>
        <v>24</v>
      </c>
      <c r="J45" s="91">
        <f>VLOOKUP(H45,'Listen und Kennwerte'!$B$4:$O$11,2,FALSE)</f>
        <v>24</v>
      </c>
      <c r="K45" s="92">
        <f>VLOOKUP(H45,'Listen und Kennwerte'!$B$4:$O$11,8,FALSE)</f>
        <v>11500</v>
      </c>
      <c r="L45" s="92">
        <f>VLOOKUP(H45,'Listen und Kennwerte'!$B$4:$O$11,9,FALSE)</f>
        <v>9600</v>
      </c>
      <c r="M45" s="90" t="s">
        <v>136</v>
      </c>
      <c r="N45" s="93">
        <v>4</v>
      </c>
      <c r="O45" s="93">
        <v>0.4</v>
      </c>
      <c r="P45" s="93">
        <v>0.4</v>
      </c>
      <c r="Q45" s="90">
        <v>1</v>
      </c>
      <c r="R45" s="90" t="s">
        <v>171</v>
      </c>
      <c r="S45" s="93">
        <v>0.6</v>
      </c>
      <c r="T45" s="93">
        <v>1.3</v>
      </c>
      <c r="U45" s="94">
        <v>4081.5297136929789</v>
      </c>
      <c r="V45" s="94">
        <v>5</v>
      </c>
      <c r="W45" s="94">
        <v>0</v>
      </c>
      <c r="X45" s="95">
        <v>0</v>
      </c>
      <c r="Z45" s="113">
        <v>34.64</v>
      </c>
      <c r="AA45" s="114">
        <v>0.56000000000000005</v>
      </c>
      <c r="AB45" s="114">
        <v>0.96</v>
      </c>
      <c r="AC45" s="115">
        <v>8</v>
      </c>
      <c r="AD45" s="116">
        <v>3061.15</v>
      </c>
      <c r="AE45" s="116">
        <v>25509.560710581114</v>
      </c>
      <c r="AF45" s="117"/>
      <c r="AG45" s="167">
        <v>5.77</v>
      </c>
      <c r="AI45" s="113">
        <v>8</v>
      </c>
      <c r="AJ45" s="115">
        <v>32.652237709543833</v>
      </c>
      <c r="AK45" s="115">
        <v>11.94</v>
      </c>
      <c r="AL45" s="115">
        <v>48.73</v>
      </c>
      <c r="AM45" s="115">
        <v>8</v>
      </c>
      <c r="AN45" s="115">
        <v>32.652237709543833</v>
      </c>
      <c r="AO45" s="115">
        <v>11.94</v>
      </c>
      <c r="AP45" s="115">
        <v>48.73</v>
      </c>
      <c r="AQ45" s="117"/>
      <c r="AR45" s="167">
        <v>3.21</v>
      </c>
      <c r="AT45" s="113">
        <v>8</v>
      </c>
      <c r="AU45" s="115">
        <v>32.652237709543833</v>
      </c>
      <c r="AV45" s="115">
        <v>10.938226326194988</v>
      </c>
      <c r="AW45" s="115">
        <v>44.644695765463631</v>
      </c>
      <c r="AX45" s="117"/>
      <c r="AY45" s="167">
        <v>3.1431879223139005</v>
      </c>
      <c r="AZ45" s="10"/>
      <c r="BA45" s="131">
        <v>5.77</v>
      </c>
      <c r="BB45" s="132">
        <v>7.39</v>
      </c>
      <c r="BC45" s="132">
        <v>4.29</v>
      </c>
      <c r="BD45" s="132">
        <v>1.8</v>
      </c>
      <c r="BE45" s="132">
        <v>1.03</v>
      </c>
      <c r="BF45" s="118" t="s">
        <v>255</v>
      </c>
      <c r="BG45" s="133" t="s">
        <v>173</v>
      </c>
      <c r="BH45" s="133" t="s">
        <v>170</v>
      </c>
      <c r="BI45" s="133"/>
      <c r="BJ45" s="133"/>
      <c r="BK45" s="133"/>
      <c r="BL45" s="134" t="s">
        <v>174</v>
      </c>
      <c r="BM45" s="133"/>
      <c r="BN45" s="133"/>
      <c r="BO45" s="133">
        <v>0.5</v>
      </c>
      <c r="BP45" s="133">
        <v>0.6</v>
      </c>
      <c r="BQ45" s="133">
        <v>0.7</v>
      </c>
      <c r="BR45" s="134"/>
    </row>
    <row r="46" spans="2:70" x14ac:dyDescent="0.6">
      <c r="B46" s="75" t="s">
        <v>86</v>
      </c>
      <c r="C46" s="76" t="s">
        <v>46</v>
      </c>
      <c r="D46" s="76" t="s">
        <v>47</v>
      </c>
      <c r="E46" s="76" t="s">
        <v>48</v>
      </c>
      <c r="F46" s="76" t="s">
        <v>49</v>
      </c>
      <c r="G46" s="76" t="s">
        <v>169</v>
      </c>
      <c r="H46" s="76" t="s">
        <v>177</v>
      </c>
      <c r="I46" s="77">
        <f>VLOOKUP(H46,'Listen und Kennwerte'!$B$4:$O$11,5,FALSE)</f>
        <v>24</v>
      </c>
      <c r="J46" s="77">
        <f>VLOOKUP(H46,'Listen und Kennwerte'!$B$4:$O$11,2,FALSE)</f>
        <v>24</v>
      </c>
      <c r="K46" s="78">
        <f>VLOOKUP(H46,'Listen und Kennwerte'!$B$4:$O$11,8,FALSE)</f>
        <v>11500</v>
      </c>
      <c r="L46" s="78">
        <f>VLOOKUP(H46,'Listen und Kennwerte'!$B$4:$O$11,9,FALSE)</f>
        <v>9600</v>
      </c>
      <c r="M46" s="76" t="s">
        <v>136</v>
      </c>
      <c r="N46" s="79">
        <v>7.8</v>
      </c>
      <c r="O46" s="79">
        <v>0.6</v>
      </c>
      <c r="P46" s="79">
        <v>0.6</v>
      </c>
      <c r="Q46" s="76">
        <v>1</v>
      </c>
      <c r="R46" s="76" t="s">
        <v>171</v>
      </c>
      <c r="S46" s="79">
        <v>0.6</v>
      </c>
      <c r="T46" s="79">
        <v>1.3</v>
      </c>
      <c r="U46" s="80">
        <v>6144.6479626600149</v>
      </c>
      <c r="V46" s="80">
        <v>5</v>
      </c>
      <c r="W46" s="80">
        <v>0</v>
      </c>
      <c r="X46" s="81">
        <v>0</v>
      </c>
      <c r="Z46" s="11">
        <v>45.03</v>
      </c>
      <c r="AA46" s="105">
        <v>0.72</v>
      </c>
      <c r="AB46" s="105">
        <v>0.92</v>
      </c>
      <c r="AC46" s="106">
        <v>15.6</v>
      </c>
      <c r="AD46" s="107">
        <v>2662.68</v>
      </c>
      <c r="AE46" s="107">
        <v>17068.466562944486</v>
      </c>
      <c r="AF46" s="108"/>
      <c r="AG46" s="168">
        <v>2.78</v>
      </c>
      <c r="AI46" s="11">
        <v>15.6</v>
      </c>
      <c r="AJ46" s="106">
        <v>95.856508217496227</v>
      </c>
      <c r="AK46" s="106">
        <v>24.88</v>
      </c>
      <c r="AL46" s="106">
        <v>152.9</v>
      </c>
      <c r="AM46" s="106">
        <v>15.6</v>
      </c>
      <c r="AN46" s="106">
        <v>95.856508217496227</v>
      </c>
      <c r="AO46" s="106">
        <v>24.88</v>
      </c>
      <c r="AP46" s="106">
        <v>152.9</v>
      </c>
      <c r="AQ46" s="108"/>
      <c r="AR46" s="168">
        <v>2.4300000000000002</v>
      </c>
      <c r="AT46" s="11">
        <v>15.6</v>
      </c>
      <c r="AU46" s="106">
        <v>95.856508217496227</v>
      </c>
      <c r="AV46" s="106">
        <v>22.446376233018693</v>
      </c>
      <c r="AW46" s="106">
        <v>137.92507998931853</v>
      </c>
      <c r="AX46" s="108"/>
      <c r="AY46" s="168">
        <v>2.3595428445209361</v>
      </c>
      <c r="AZ46" s="10"/>
      <c r="BA46" s="123">
        <v>2.78</v>
      </c>
      <c r="BB46" s="124">
        <v>3.5</v>
      </c>
      <c r="BC46" s="124">
        <v>2.09</v>
      </c>
      <c r="BD46" s="124">
        <v>1.34</v>
      </c>
      <c r="BE46" s="124">
        <v>0.96</v>
      </c>
      <c r="BF46" s="109" t="s">
        <v>255</v>
      </c>
      <c r="BG46" s="125" t="s">
        <v>173</v>
      </c>
      <c r="BH46" s="125" t="s">
        <v>170</v>
      </c>
      <c r="BI46" s="125"/>
      <c r="BJ46" s="125"/>
      <c r="BK46" s="125"/>
      <c r="BL46" s="126" t="s">
        <v>174</v>
      </c>
      <c r="BM46" s="125"/>
      <c r="BN46" s="125"/>
      <c r="BO46" s="125">
        <v>0.7</v>
      </c>
      <c r="BP46" s="125">
        <v>0.8</v>
      </c>
      <c r="BQ46" s="125">
        <v>0.8</v>
      </c>
      <c r="BR46" s="126" t="s">
        <v>174</v>
      </c>
    </row>
    <row r="47" spans="2:70" x14ac:dyDescent="0.6">
      <c r="B47" s="89" t="s">
        <v>87</v>
      </c>
      <c r="C47" s="90" t="s">
        <v>46</v>
      </c>
      <c r="D47" s="90" t="s">
        <v>47</v>
      </c>
      <c r="E47" s="90" t="s">
        <v>48</v>
      </c>
      <c r="F47" s="90" t="s">
        <v>49</v>
      </c>
      <c r="G47" s="90" t="s">
        <v>169</v>
      </c>
      <c r="H47" s="90" t="s">
        <v>177</v>
      </c>
      <c r="I47" s="91">
        <f>VLOOKUP(H47,'Listen und Kennwerte'!$B$4:$O$11,5,FALSE)</f>
        <v>24</v>
      </c>
      <c r="J47" s="91">
        <f>VLOOKUP(H47,'Listen und Kennwerte'!$B$4:$O$11,2,FALSE)</f>
        <v>24</v>
      </c>
      <c r="K47" s="92">
        <f>VLOOKUP(H47,'Listen und Kennwerte'!$B$4:$O$11,8,FALSE)</f>
        <v>11500</v>
      </c>
      <c r="L47" s="92">
        <f>VLOOKUP(H47,'Listen und Kennwerte'!$B$4:$O$11,9,FALSE)</f>
        <v>9600</v>
      </c>
      <c r="M47" s="90" t="s">
        <v>136</v>
      </c>
      <c r="N47" s="93">
        <v>4</v>
      </c>
      <c r="O47" s="93">
        <v>0.4</v>
      </c>
      <c r="P47" s="93">
        <v>0.4</v>
      </c>
      <c r="Q47" s="90">
        <v>1</v>
      </c>
      <c r="R47" s="90" t="s">
        <v>171</v>
      </c>
      <c r="S47" s="93">
        <v>0.6</v>
      </c>
      <c r="T47" s="93">
        <v>1.3</v>
      </c>
      <c r="U47" s="94">
        <v>4081.5297136929789</v>
      </c>
      <c r="V47" s="94">
        <v>5</v>
      </c>
      <c r="W47" s="94">
        <v>0</v>
      </c>
      <c r="X47" s="95">
        <v>0</v>
      </c>
      <c r="Z47" s="113">
        <v>34.64</v>
      </c>
      <c r="AA47" s="114">
        <v>0.56000000000000005</v>
      </c>
      <c r="AB47" s="114">
        <v>0.96</v>
      </c>
      <c r="AC47" s="115">
        <v>8</v>
      </c>
      <c r="AD47" s="116">
        <v>3061.15</v>
      </c>
      <c r="AE47" s="116">
        <v>25509.560710581114</v>
      </c>
      <c r="AF47" s="117"/>
      <c r="AG47" s="167">
        <v>5.77</v>
      </c>
      <c r="AI47" s="113">
        <v>8</v>
      </c>
      <c r="AJ47" s="115">
        <v>32.652237709543833</v>
      </c>
      <c r="AK47" s="115">
        <v>11.94</v>
      </c>
      <c r="AL47" s="115">
        <v>48.73</v>
      </c>
      <c r="AM47" s="115">
        <v>8</v>
      </c>
      <c r="AN47" s="115">
        <v>32.652237709543833</v>
      </c>
      <c r="AO47" s="115">
        <v>11.94</v>
      </c>
      <c r="AP47" s="115">
        <v>48.73</v>
      </c>
      <c r="AQ47" s="117"/>
      <c r="AR47" s="167">
        <v>3.21</v>
      </c>
      <c r="AT47" s="113">
        <v>8</v>
      </c>
      <c r="AU47" s="115">
        <v>32.652237709543833</v>
      </c>
      <c r="AV47" s="115">
        <v>10.938226326194988</v>
      </c>
      <c r="AW47" s="115">
        <v>44.644695765463631</v>
      </c>
      <c r="AX47" s="117"/>
      <c r="AY47" s="167">
        <v>3.1431879223139005</v>
      </c>
      <c r="AZ47" s="10"/>
      <c r="BA47" s="131">
        <v>5.77</v>
      </c>
      <c r="BB47" s="132">
        <v>7.39</v>
      </c>
      <c r="BC47" s="132">
        <v>4.29</v>
      </c>
      <c r="BD47" s="132">
        <v>1.8</v>
      </c>
      <c r="BE47" s="132">
        <v>1.03</v>
      </c>
      <c r="BF47" s="118" t="s">
        <v>255</v>
      </c>
      <c r="BG47" s="133" t="s">
        <v>173</v>
      </c>
      <c r="BH47" s="133" t="s">
        <v>170</v>
      </c>
      <c r="BI47" s="133"/>
      <c r="BJ47" s="133"/>
      <c r="BK47" s="133"/>
      <c r="BL47" s="134" t="s">
        <v>174</v>
      </c>
      <c r="BM47" s="133"/>
      <c r="BN47" s="133"/>
      <c r="BO47" s="133">
        <v>0.5</v>
      </c>
      <c r="BP47" s="133">
        <v>0.6</v>
      </c>
      <c r="BQ47" s="133">
        <v>0.7</v>
      </c>
      <c r="BR47" s="134"/>
    </row>
    <row r="48" spans="2:70" x14ac:dyDescent="0.6">
      <c r="B48" s="75" t="s">
        <v>88</v>
      </c>
      <c r="C48" s="76" t="s">
        <v>46</v>
      </c>
      <c r="D48" s="76" t="s">
        <v>47</v>
      </c>
      <c r="E48" s="76" t="s">
        <v>48</v>
      </c>
      <c r="F48" s="76" t="s">
        <v>49</v>
      </c>
      <c r="G48" s="76" t="s">
        <v>169</v>
      </c>
      <c r="H48" s="76" t="s">
        <v>177</v>
      </c>
      <c r="I48" s="77">
        <f>VLOOKUP(H48,'Listen und Kennwerte'!$B$4:$O$11,5,FALSE)</f>
        <v>24</v>
      </c>
      <c r="J48" s="77">
        <f>VLOOKUP(H48,'Listen und Kennwerte'!$B$4:$O$11,2,FALSE)</f>
        <v>24</v>
      </c>
      <c r="K48" s="78">
        <f>VLOOKUP(H48,'Listen und Kennwerte'!$B$4:$O$11,8,FALSE)</f>
        <v>11500</v>
      </c>
      <c r="L48" s="78">
        <f>VLOOKUP(H48,'Listen und Kennwerte'!$B$4:$O$11,9,FALSE)</f>
        <v>9600</v>
      </c>
      <c r="M48" s="76" t="s">
        <v>136</v>
      </c>
      <c r="N48" s="79">
        <v>7.8</v>
      </c>
      <c r="O48" s="79">
        <v>0.6</v>
      </c>
      <c r="P48" s="79">
        <v>0.6</v>
      </c>
      <c r="Q48" s="76">
        <v>1</v>
      </c>
      <c r="R48" s="76" t="s">
        <v>171</v>
      </c>
      <c r="S48" s="79">
        <v>0.6</v>
      </c>
      <c r="T48" s="79">
        <v>1.3</v>
      </c>
      <c r="U48" s="80">
        <v>8098.2143312208054</v>
      </c>
      <c r="V48" s="80">
        <v>5</v>
      </c>
      <c r="W48" s="80">
        <v>0</v>
      </c>
      <c r="X48" s="81">
        <v>0</v>
      </c>
      <c r="Z48" s="11">
        <v>45.03</v>
      </c>
      <c r="AA48" s="105">
        <v>0.72</v>
      </c>
      <c r="AB48" s="105">
        <v>0.92</v>
      </c>
      <c r="AC48" s="106">
        <v>15.6</v>
      </c>
      <c r="AD48" s="107">
        <v>3509.23</v>
      </c>
      <c r="AE48" s="107">
        <v>22495.039808946683</v>
      </c>
      <c r="AF48" s="108"/>
      <c r="AG48" s="168">
        <v>4.6500000000000004</v>
      </c>
      <c r="AI48" s="11">
        <v>15.6</v>
      </c>
      <c r="AJ48" s="106">
        <v>126.33214356704455</v>
      </c>
      <c r="AK48" s="106">
        <v>30.67</v>
      </c>
      <c r="AL48" s="106">
        <v>248.35</v>
      </c>
      <c r="AM48" s="106">
        <v>15.6</v>
      </c>
      <c r="AN48" s="106">
        <v>126.33214356704455</v>
      </c>
      <c r="AO48" s="106">
        <v>30.67</v>
      </c>
      <c r="AP48" s="106">
        <v>248.35</v>
      </c>
      <c r="AQ48" s="108"/>
      <c r="AR48" s="168">
        <v>3.44</v>
      </c>
      <c r="AT48" s="11">
        <v>15.6</v>
      </c>
      <c r="AU48" s="106">
        <v>126.33214356704455</v>
      </c>
      <c r="AV48" s="106">
        <v>26.086897751786008</v>
      </c>
      <c r="AW48" s="106">
        <v>211.25728923060518</v>
      </c>
      <c r="AX48" s="108"/>
      <c r="AY48" s="168">
        <v>3.2575752852796027</v>
      </c>
      <c r="AZ48" s="10"/>
      <c r="BA48" s="123">
        <v>4.6500000000000004</v>
      </c>
      <c r="BB48" s="124">
        <v>5.92</v>
      </c>
      <c r="BC48" s="124">
        <v>3.48</v>
      </c>
      <c r="BD48" s="124">
        <v>1.92</v>
      </c>
      <c r="BE48" s="124">
        <v>1.28</v>
      </c>
      <c r="BF48" s="109" t="s">
        <v>255</v>
      </c>
      <c r="BG48" s="125" t="s">
        <v>173</v>
      </c>
      <c r="BH48" s="125" t="s">
        <v>170</v>
      </c>
      <c r="BI48" s="125"/>
      <c r="BJ48" s="125"/>
      <c r="BK48" s="125"/>
      <c r="BL48" s="126" t="s">
        <v>174</v>
      </c>
      <c r="BM48" s="125"/>
      <c r="BN48" s="125"/>
      <c r="BO48" s="125">
        <v>0.7</v>
      </c>
      <c r="BP48" s="125">
        <v>0.8</v>
      </c>
      <c r="BQ48" s="125">
        <v>0.8</v>
      </c>
      <c r="BR48" s="126" t="s">
        <v>174</v>
      </c>
    </row>
    <row r="49" spans="2:70" x14ac:dyDescent="0.6">
      <c r="B49" s="89" t="s">
        <v>89</v>
      </c>
      <c r="C49" s="90" t="s">
        <v>46</v>
      </c>
      <c r="D49" s="90" t="s">
        <v>55</v>
      </c>
      <c r="E49" s="90" t="s">
        <v>48</v>
      </c>
      <c r="F49" s="90" t="s">
        <v>49</v>
      </c>
      <c r="G49" s="90" t="s">
        <v>169</v>
      </c>
      <c r="H49" s="90" t="s">
        <v>177</v>
      </c>
      <c r="I49" s="91">
        <f>VLOOKUP(H49,'Listen und Kennwerte'!$B$4:$O$11,5,FALSE)</f>
        <v>24</v>
      </c>
      <c r="J49" s="91">
        <f>VLOOKUP(H49,'Listen und Kennwerte'!$B$4:$O$11,2,FALSE)</f>
        <v>24</v>
      </c>
      <c r="K49" s="92">
        <f>VLOOKUP(H49,'Listen und Kennwerte'!$B$4:$O$11,8,FALSE)</f>
        <v>11500</v>
      </c>
      <c r="L49" s="92">
        <f>VLOOKUP(H49,'Listen und Kennwerte'!$B$4:$O$11,9,FALSE)</f>
        <v>9600</v>
      </c>
      <c r="M49" s="90" t="s">
        <v>136</v>
      </c>
      <c r="N49" s="93">
        <v>4</v>
      </c>
      <c r="O49" s="93">
        <v>0.5</v>
      </c>
      <c r="P49" s="93">
        <v>0.5</v>
      </c>
      <c r="Q49" s="90">
        <v>1</v>
      </c>
      <c r="R49" s="90" t="s">
        <v>171</v>
      </c>
      <c r="S49" s="93">
        <v>0.6</v>
      </c>
      <c r="T49" s="93">
        <v>1.3</v>
      </c>
      <c r="U49" s="94">
        <v>4916.0241492233263</v>
      </c>
      <c r="V49" s="94">
        <v>5</v>
      </c>
      <c r="W49" s="94">
        <v>0</v>
      </c>
      <c r="X49" s="95">
        <v>0</v>
      </c>
      <c r="Z49" s="113">
        <v>27.71</v>
      </c>
      <c r="AA49" s="114">
        <v>0.45</v>
      </c>
      <c r="AB49" s="114">
        <v>0.98</v>
      </c>
      <c r="AC49" s="115">
        <v>8</v>
      </c>
      <c r="AD49" s="116">
        <v>1887.75</v>
      </c>
      <c r="AE49" s="116">
        <v>19664.096596893305</v>
      </c>
      <c r="AF49" s="117"/>
      <c r="AG49" s="167">
        <v>3.44</v>
      </c>
      <c r="AI49" s="113">
        <v>8</v>
      </c>
      <c r="AJ49" s="115">
        <v>39.32819319378661</v>
      </c>
      <c r="AK49" s="115">
        <v>9.56</v>
      </c>
      <c r="AL49" s="115">
        <v>46.97</v>
      </c>
      <c r="AM49" s="115">
        <v>8</v>
      </c>
      <c r="AN49" s="115">
        <v>39.32819319378661</v>
      </c>
      <c r="AO49" s="115">
        <v>9.56</v>
      </c>
      <c r="AP49" s="115">
        <v>46.97</v>
      </c>
      <c r="AQ49" s="117"/>
      <c r="AR49" s="167">
        <v>2.21</v>
      </c>
      <c r="AT49" s="113">
        <v>8</v>
      </c>
      <c r="AU49" s="115">
        <v>39.32819319378661</v>
      </c>
      <c r="AV49" s="115">
        <v>9.2143363555955276</v>
      </c>
      <c r="AW49" s="115">
        <v>45.297900043174067</v>
      </c>
      <c r="AX49" s="117"/>
      <c r="AY49" s="167">
        <v>2.1999557514704118</v>
      </c>
      <c r="AZ49" s="10"/>
      <c r="BA49" s="131">
        <v>3.44</v>
      </c>
      <c r="BB49" s="132">
        <v>4.4000000000000004</v>
      </c>
      <c r="BC49" s="132">
        <v>2.56</v>
      </c>
      <c r="BD49" s="132">
        <v>1.26</v>
      </c>
      <c r="BE49" s="132">
        <v>0.89</v>
      </c>
      <c r="BF49" s="118" t="s">
        <v>255</v>
      </c>
      <c r="BG49" s="133" t="s">
        <v>173</v>
      </c>
      <c r="BH49" s="133" t="s">
        <v>170</v>
      </c>
      <c r="BI49" s="133"/>
      <c r="BJ49" s="133"/>
      <c r="BK49" s="133"/>
      <c r="BL49" s="134" t="s">
        <v>174</v>
      </c>
      <c r="BM49" s="133"/>
      <c r="BN49" s="133"/>
      <c r="BO49" s="133">
        <v>0.6</v>
      </c>
      <c r="BP49" s="133">
        <v>0.7</v>
      </c>
      <c r="BQ49" s="133">
        <v>0.75</v>
      </c>
      <c r="BR49" s="134"/>
    </row>
    <row r="50" spans="2:70" x14ac:dyDescent="0.6">
      <c r="B50" s="75" t="s">
        <v>90</v>
      </c>
      <c r="C50" s="76" t="s">
        <v>46</v>
      </c>
      <c r="D50" s="76" t="s">
        <v>55</v>
      </c>
      <c r="E50" s="76" t="s">
        <v>48</v>
      </c>
      <c r="F50" s="76" t="s">
        <v>49</v>
      </c>
      <c r="G50" s="76" t="s">
        <v>169</v>
      </c>
      <c r="H50" s="76" t="s">
        <v>177</v>
      </c>
      <c r="I50" s="77">
        <f>VLOOKUP(H50,'Listen und Kennwerte'!$B$4:$O$11,5,FALSE)</f>
        <v>24</v>
      </c>
      <c r="J50" s="77">
        <f>VLOOKUP(H50,'Listen und Kennwerte'!$B$4:$O$11,2,FALSE)</f>
        <v>24</v>
      </c>
      <c r="K50" s="78">
        <f>VLOOKUP(H50,'Listen und Kennwerte'!$B$4:$O$11,8,FALSE)</f>
        <v>11500</v>
      </c>
      <c r="L50" s="78">
        <f>VLOOKUP(H50,'Listen und Kennwerte'!$B$4:$O$11,9,FALSE)</f>
        <v>9600</v>
      </c>
      <c r="M50" s="76" t="s">
        <v>136</v>
      </c>
      <c r="N50" s="79">
        <v>4</v>
      </c>
      <c r="O50" s="79">
        <v>0.5</v>
      </c>
      <c r="P50" s="79">
        <v>0.5</v>
      </c>
      <c r="Q50" s="76">
        <v>1</v>
      </c>
      <c r="R50" s="76" t="s">
        <v>171</v>
      </c>
      <c r="S50" s="79">
        <v>0.6</v>
      </c>
      <c r="T50" s="79">
        <v>1.3</v>
      </c>
      <c r="U50" s="80">
        <v>6197.4144643135096</v>
      </c>
      <c r="V50" s="80">
        <v>5</v>
      </c>
      <c r="W50" s="80">
        <v>0</v>
      </c>
      <c r="X50" s="81">
        <v>0</v>
      </c>
      <c r="Z50" s="11">
        <v>27.71</v>
      </c>
      <c r="AA50" s="105">
        <v>0.45</v>
      </c>
      <c r="AB50" s="105">
        <v>0.98</v>
      </c>
      <c r="AC50" s="106">
        <v>8</v>
      </c>
      <c r="AD50" s="107">
        <v>2379.81</v>
      </c>
      <c r="AE50" s="107">
        <v>24789.657857254038</v>
      </c>
      <c r="AF50" s="108"/>
      <c r="AG50" s="168">
        <v>5.37</v>
      </c>
      <c r="AI50" s="11">
        <v>8</v>
      </c>
      <c r="AJ50" s="106">
        <v>49.579315714508077</v>
      </c>
      <c r="AK50" s="106">
        <v>10.07</v>
      </c>
      <c r="AL50" s="106">
        <v>62.38</v>
      </c>
      <c r="AM50" s="106">
        <v>8</v>
      </c>
      <c r="AN50" s="106">
        <v>49.579315714508077</v>
      </c>
      <c r="AO50" s="106">
        <v>10.07</v>
      </c>
      <c r="AP50" s="106">
        <v>62.38</v>
      </c>
      <c r="AQ50" s="108"/>
      <c r="AR50" s="168">
        <v>2.82</v>
      </c>
      <c r="AT50" s="11">
        <v>8</v>
      </c>
      <c r="AU50" s="106">
        <v>49.579315714508077</v>
      </c>
      <c r="AV50" s="106">
        <v>9.5938059635129864</v>
      </c>
      <c r="AW50" s="106">
        <v>59.456791846092578</v>
      </c>
      <c r="AX50" s="108"/>
      <c r="AY50" s="168">
        <v>2.7937686897971861</v>
      </c>
      <c r="AZ50" s="10"/>
      <c r="BA50" s="123">
        <v>5.37</v>
      </c>
      <c r="BB50" s="124">
        <v>6.9</v>
      </c>
      <c r="BC50" s="124">
        <v>3.99</v>
      </c>
      <c r="BD50" s="124">
        <v>1.95</v>
      </c>
      <c r="BE50" s="124">
        <v>1.1200000000000001</v>
      </c>
      <c r="BF50" s="109" t="s">
        <v>255</v>
      </c>
      <c r="BG50" s="125" t="s">
        <v>173</v>
      </c>
      <c r="BH50" s="125" t="s">
        <v>170</v>
      </c>
      <c r="BI50" s="125"/>
      <c r="BJ50" s="125"/>
      <c r="BK50" s="125"/>
      <c r="BL50" s="126" t="s">
        <v>174</v>
      </c>
      <c r="BM50" s="125"/>
      <c r="BN50" s="125"/>
      <c r="BO50" s="125">
        <v>0.6</v>
      </c>
      <c r="BP50" s="125">
        <v>0.7</v>
      </c>
      <c r="BQ50" s="125">
        <v>0.8</v>
      </c>
      <c r="BR50" s="126"/>
    </row>
    <row r="51" spans="2:70" x14ac:dyDescent="0.6">
      <c r="B51" s="89" t="s">
        <v>91</v>
      </c>
      <c r="C51" s="90" t="s">
        <v>46</v>
      </c>
      <c r="D51" s="90" t="s">
        <v>55</v>
      </c>
      <c r="E51" s="90" t="s">
        <v>48</v>
      </c>
      <c r="F51" s="90" t="s">
        <v>49</v>
      </c>
      <c r="G51" s="90" t="s">
        <v>169</v>
      </c>
      <c r="H51" s="90" t="s">
        <v>177</v>
      </c>
      <c r="I51" s="91">
        <f>VLOOKUP(H51,'Listen und Kennwerte'!$B$4:$O$11,5,FALSE)</f>
        <v>24</v>
      </c>
      <c r="J51" s="91">
        <f>VLOOKUP(H51,'Listen und Kennwerte'!$B$4:$O$11,2,FALSE)</f>
        <v>24</v>
      </c>
      <c r="K51" s="92">
        <f>VLOOKUP(H51,'Listen und Kennwerte'!$B$4:$O$11,8,FALSE)</f>
        <v>11500</v>
      </c>
      <c r="L51" s="92">
        <f>VLOOKUP(H51,'Listen und Kennwerte'!$B$4:$O$11,9,FALSE)</f>
        <v>9600</v>
      </c>
      <c r="M51" s="90" t="s">
        <v>136</v>
      </c>
      <c r="N51" s="93">
        <v>4</v>
      </c>
      <c r="O51" s="93">
        <v>0.5</v>
      </c>
      <c r="P51" s="93">
        <v>0.5</v>
      </c>
      <c r="Q51" s="90">
        <v>1</v>
      </c>
      <c r="R51" s="90" t="s">
        <v>171</v>
      </c>
      <c r="S51" s="93">
        <v>0.6</v>
      </c>
      <c r="T51" s="93">
        <v>1.3</v>
      </c>
      <c r="U51" s="94">
        <v>6439.6798813591031</v>
      </c>
      <c r="V51" s="94">
        <v>5</v>
      </c>
      <c r="W51" s="94">
        <v>0</v>
      </c>
      <c r="X51" s="95">
        <v>0</v>
      </c>
      <c r="Z51" s="113">
        <v>27.71</v>
      </c>
      <c r="AA51" s="114">
        <v>0.45</v>
      </c>
      <c r="AB51" s="114">
        <v>0.98</v>
      </c>
      <c r="AC51" s="115">
        <v>8</v>
      </c>
      <c r="AD51" s="116">
        <v>2472.84</v>
      </c>
      <c r="AE51" s="116">
        <v>25758.719525436412</v>
      </c>
      <c r="AF51" s="117"/>
      <c r="AG51" s="167">
        <v>5.78</v>
      </c>
      <c r="AI51" s="113">
        <v>8</v>
      </c>
      <c r="AJ51" s="115">
        <v>51.517439050872824</v>
      </c>
      <c r="AK51" s="115">
        <v>10.17</v>
      </c>
      <c r="AL51" s="115">
        <v>65.48</v>
      </c>
      <c r="AM51" s="115">
        <v>8</v>
      </c>
      <c r="AN51" s="115">
        <v>51.517439050872824</v>
      </c>
      <c r="AO51" s="115">
        <v>10.17</v>
      </c>
      <c r="AP51" s="115">
        <v>65.48</v>
      </c>
      <c r="AQ51" s="117"/>
      <c r="AR51" s="167">
        <v>2.94</v>
      </c>
      <c r="AT51" s="113">
        <v>8</v>
      </c>
      <c r="AU51" s="115">
        <v>51.517439050872824</v>
      </c>
      <c r="AV51" s="115">
        <v>9.6690529335693949</v>
      </c>
      <c r="AW51" s="115">
        <v>62.265605648103048</v>
      </c>
      <c r="AX51" s="117"/>
      <c r="AY51" s="167">
        <v>2.9071805086303995</v>
      </c>
      <c r="AZ51" s="10"/>
      <c r="BA51" s="131">
        <v>5.78</v>
      </c>
      <c r="BB51" s="132">
        <v>7.44</v>
      </c>
      <c r="BC51" s="132">
        <v>4.29</v>
      </c>
      <c r="BD51" s="132">
        <v>2.1</v>
      </c>
      <c r="BE51" s="132">
        <v>1.17</v>
      </c>
      <c r="BF51" s="118" t="s">
        <v>255</v>
      </c>
      <c r="BG51" s="133" t="s">
        <v>173</v>
      </c>
      <c r="BH51" s="133" t="s">
        <v>170</v>
      </c>
      <c r="BI51" s="133"/>
      <c r="BJ51" s="133"/>
      <c r="BK51" s="133"/>
      <c r="BL51" s="134" t="s">
        <v>174</v>
      </c>
      <c r="BM51" s="133"/>
      <c r="BN51" s="133"/>
      <c r="BO51" s="133">
        <v>0.6</v>
      </c>
      <c r="BP51" s="133">
        <v>0.7</v>
      </c>
      <c r="BQ51" s="133">
        <v>0.8</v>
      </c>
      <c r="BR51" s="134"/>
    </row>
    <row r="52" spans="2:70" x14ac:dyDescent="0.6">
      <c r="B52" s="75" t="s">
        <v>92</v>
      </c>
      <c r="C52" s="76" t="s">
        <v>46</v>
      </c>
      <c r="D52" s="76" t="s">
        <v>55</v>
      </c>
      <c r="E52" s="76" t="s">
        <v>48</v>
      </c>
      <c r="F52" s="76" t="s">
        <v>49</v>
      </c>
      <c r="G52" s="76" t="s">
        <v>169</v>
      </c>
      <c r="H52" s="76" t="s">
        <v>177</v>
      </c>
      <c r="I52" s="77">
        <f>VLOOKUP(H52,'Listen und Kennwerte'!$B$4:$O$11,5,FALSE)</f>
        <v>24</v>
      </c>
      <c r="J52" s="77">
        <f>VLOOKUP(H52,'Listen und Kennwerte'!$B$4:$O$11,2,FALSE)</f>
        <v>24</v>
      </c>
      <c r="K52" s="78">
        <f>VLOOKUP(H52,'Listen und Kennwerte'!$B$4:$O$11,8,FALSE)</f>
        <v>11500</v>
      </c>
      <c r="L52" s="78">
        <f>VLOOKUP(H52,'Listen und Kennwerte'!$B$4:$O$11,9,FALSE)</f>
        <v>9600</v>
      </c>
      <c r="M52" s="76" t="s">
        <v>136</v>
      </c>
      <c r="N52" s="79">
        <v>4</v>
      </c>
      <c r="O52" s="79">
        <v>0.5</v>
      </c>
      <c r="P52" s="79">
        <v>0.5</v>
      </c>
      <c r="Q52" s="76">
        <v>1</v>
      </c>
      <c r="R52" s="76" t="s">
        <v>171</v>
      </c>
      <c r="S52" s="79">
        <v>0.6</v>
      </c>
      <c r="T52" s="79">
        <v>1.3</v>
      </c>
      <c r="U52" s="80">
        <v>6264.0745601120034</v>
      </c>
      <c r="V52" s="80">
        <v>5</v>
      </c>
      <c r="W52" s="80">
        <v>0</v>
      </c>
      <c r="X52" s="81">
        <v>0</v>
      </c>
      <c r="Z52" s="11">
        <v>27.71</v>
      </c>
      <c r="AA52" s="105">
        <v>0.45</v>
      </c>
      <c r="AB52" s="105">
        <v>0.98</v>
      </c>
      <c r="AC52" s="106">
        <v>8</v>
      </c>
      <c r="AD52" s="107">
        <v>2405.4</v>
      </c>
      <c r="AE52" s="107">
        <v>25056.298240448014</v>
      </c>
      <c r="AF52" s="108"/>
      <c r="AG52" s="168">
        <v>5.48</v>
      </c>
      <c r="AI52" s="11">
        <v>8</v>
      </c>
      <c r="AJ52" s="106">
        <v>50.11259648089603</v>
      </c>
      <c r="AK52" s="106">
        <v>10.09</v>
      </c>
      <c r="AL52" s="106">
        <v>63.23</v>
      </c>
      <c r="AM52" s="106">
        <v>8</v>
      </c>
      <c r="AN52" s="106">
        <v>50.11259648089603</v>
      </c>
      <c r="AO52" s="106">
        <v>10.09</v>
      </c>
      <c r="AP52" s="106">
        <v>63.23</v>
      </c>
      <c r="AQ52" s="108"/>
      <c r="AR52" s="168">
        <v>2.85</v>
      </c>
      <c r="AT52" s="11">
        <v>8</v>
      </c>
      <c r="AU52" s="106">
        <v>50.11259648089603</v>
      </c>
      <c r="AV52" s="106">
        <v>9.6144932587874479</v>
      </c>
      <c r="AW52" s="106">
        <v>60.225902630738808</v>
      </c>
      <c r="AX52" s="108"/>
      <c r="AY52" s="168">
        <v>2.8249418692592552</v>
      </c>
      <c r="AZ52" s="10"/>
      <c r="BA52" s="123">
        <v>5.48</v>
      </c>
      <c r="BB52" s="124">
        <v>7.05</v>
      </c>
      <c r="BC52" s="124">
        <v>4.07</v>
      </c>
      <c r="BD52" s="124">
        <v>1.99</v>
      </c>
      <c r="BE52" s="124">
        <v>1.1299999999999999</v>
      </c>
      <c r="BF52" s="109" t="s">
        <v>255</v>
      </c>
      <c r="BG52" s="125" t="s">
        <v>173</v>
      </c>
      <c r="BH52" s="125" t="s">
        <v>170</v>
      </c>
      <c r="BI52" s="125"/>
      <c r="BJ52" s="125"/>
      <c r="BK52" s="125"/>
      <c r="BL52" s="126" t="s">
        <v>174</v>
      </c>
      <c r="BM52" s="125"/>
      <c r="BN52" s="125"/>
      <c r="BO52" s="125">
        <v>0.6</v>
      </c>
      <c r="BP52" s="125">
        <v>0.7</v>
      </c>
      <c r="BQ52" s="125">
        <v>0.8</v>
      </c>
      <c r="BR52" s="126"/>
    </row>
    <row r="53" spans="2:70" x14ac:dyDescent="0.6">
      <c r="B53" s="89" t="s">
        <v>93</v>
      </c>
      <c r="C53" s="90" t="s">
        <v>46</v>
      </c>
      <c r="D53" s="90" t="s">
        <v>55</v>
      </c>
      <c r="E53" s="90" t="s">
        <v>48</v>
      </c>
      <c r="F53" s="90" t="s">
        <v>49</v>
      </c>
      <c r="G53" s="90" t="s">
        <v>169</v>
      </c>
      <c r="H53" s="90" t="s">
        <v>177</v>
      </c>
      <c r="I53" s="91">
        <f>VLOOKUP(H53,'Listen und Kennwerte'!$B$4:$O$11,5,FALSE)</f>
        <v>24</v>
      </c>
      <c r="J53" s="91">
        <f>VLOOKUP(H53,'Listen und Kennwerte'!$B$4:$O$11,2,FALSE)</f>
        <v>24</v>
      </c>
      <c r="K53" s="92">
        <f>VLOOKUP(H53,'Listen und Kennwerte'!$B$4:$O$11,8,FALSE)</f>
        <v>11500</v>
      </c>
      <c r="L53" s="92">
        <f>VLOOKUP(H53,'Listen und Kennwerte'!$B$4:$O$11,9,FALSE)</f>
        <v>9600</v>
      </c>
      <c r="M53" s="90" t="s">
        <v>136</v>
      </c>
      <c r="N53" s="93">
        <v>4</v>
      </c>
      <c r="O53" s="93">
        <v>0.5</v>
      </c>
      <c r="P53" s="93">
        <v>0.5</v>
      </c>
      <c r="Q53" s="90">
        <v>1</v>
      </c>
      <c r="R53" s="90" t="s">
        <v>171</v>
      </c>
      <c r="S53" s="93">
        <v>0.6</v>
      </c>
      <c r="T53" s="93">
        <v>1.3</v>
      </c>
      <c r="U53" s="94">
        <v>6196.2758367919914</v>
      </c>
      <c r="V53" s="94">
        <v>5</v>
      </c>
      <c r="W53" s="94">
        <v>0</v>
      </c>
      <c r="X53" s="95">
        <v>0</v>
      </c>
      <c r="Z53" s="113">
        <v>27.71</v>
      </c>
      <c r="AA53" s="114">
        <v>0.45</v>
      </c>
      <c r="AB53" s="114">
        <v>0.98</v>
      </c>
      <c r="AC53" s="115">
        <v>8</v>
      </c>
      <c r="AD53" s="116">
        <v>2379.37</v>
      </c>
      <c r="AE53" s="116">
        <v>24785.103347167966</v>
      </c>
      <c r="AF53" s="117"/>
      <c r="AG53" s="167">
        <v>5.37</v>
      </c>
      <c r="AI53" s="113">
        <v>8</v>
      </c>
      <c r="AJ53" s="115">
        <v>49.57020669433593</v>
      </c>
      <c r="AK53" s="115">
        <v>10.07</v>
      </c>
      <c r="AL53" s="115">
        <v>62.37</v>
      </c>
      <c r="AM53" s="115">
        <v>8</v>
      </c>
      <c r="AN53" s="115">
        <v>49.57020669433593</v>
      </c>
      <c r="AO53" s="115">
        <v>10.07</v>
      </c>
      <c r="AP53" s="115">
        <v>62.37</v>
      </c>
      <c r="AQ53" s="117"/>
      <c r="AR53" s="167">
        <v>2.82</v>
      </c>
      <c r="AT53" s="113">
        <v>8</v>
      </c>
      <c r="AU53" s="115">
        <v>49.57020669433593</v>
      </c>
      <c r="AV53" s="115">
        <v>9.5934626058934551</v>
      </c>
      <c r="AW53" s="115">
        <v>59.443740536065135</v>
      </c>
      <c r="AX53" s="117"/>
      <c r="AY53" s="167">
        <v>2.7932369625743836</v>
      </c>
      <c r="AZ53" s="10"/>
      <c r="BA53" s="131">
        <v>5.37</v>
      </c>
      <c r="BB53" s="132">
        <v>6.9</v>
      </c>
      <c r="BC53" s="132">
        <v>3.99</v>
      </c>
      <c r="BD53" s="132">
        <v>1.95</v>
      </c>
      <c r="BE53" s="132">
        <v>1.1200000000000001</v>
      </c>
      <c r="BF53" s="118" t="s">
        <v>255</v>
      </c>
      <c r="BG53" s="133" t="s">
        <v>173</v>
      </c>
      <c r="BH53" s="133" t="s">
        <v>170</v>
      </c>
      <c r="BI53" s="133"/>
      <c r="BJ53" s="133"/>
      <c r="BK53" s="133"/>
      <c r="BL53" s="134" t="s">
        <v>174</v>
      </c>
      <c r="BM53" s="133"/>
      <c r="BN53" s="133"/>
      <c r="BO53" s="133">
        <v>0.6</v>
      </c>
      <c r="BP53" s="133">
        <v>0.7</v>
      </c>
      <c r="BQ53" s="133">
        <v>0.8</v>
      </c>
      <c r="BR53" s="134"/>
    </row>
    <row r="54" spans="2:70" x14ac:dyDescent="0.6">
      <c r="B54" s="75" t="s">
        <v>94</v>
      </c>
      <c r="C54" s="76" t="s">
        <v>46</v>
      </c>
      <c r="D54" s="76" t="s">
        <v>55</v>
      </c>
      <c r="E54" s="76" t="s">
        <v>48</v>
      </c>
      <c r="F54" s="76" t="s">
        <v>49</v>
      </c>
      <c r="G54" s="76" t="s">
        <v>169</v>
      </c>
      <c r="H54" s="76" t="s">
        <v>177</v>
      </c>
      <c r="I54" s="77">
        <f>VLOOKUP(H54,'Listen und Kennwerte'!$B$4:$O$11,5,FALSE)</f>
        <v>24</v>
      </c>
      <c r="J54" s="77">
        <f>VLOOKUP(H54,'Listen und Kennwerte'!$B$4:$O$11,2,FALSE)</f>
        <v>24</v>
      </c>
      <c r="K54" s="78">
        <f>VLOOKUP(H54,'Listen und Kennwerte'!$B$4:$O$11,8,FALSE)</f>
        <v>11500</v>
      </c>
      <c r="L54" s="78">
        <f>VLOOKUP(H54,'Listen und Kennwerte'!$B$4:$O$11,9,FALSE)</f>
        <v>9600</v>
      </c>
      <c r="M54" s="76" t="s">
        <v>136</v>
      </c>
      <c r="N54" s="79">
        <v>4</v>
      </c>
      <c r="O54" s="79">
        <v>0.5</v>
      </c>
      <c r="P54" s="79">
        <v>0.5</v>
      </c>
      <c r="Q54" s="76">
        <v>1</v>
      </c>
      <c r="R54" s="76" t="s">
        <v>171</v>
      </c>
      <c r="S54" s="79">
        <v>0.6</v>
      </c>
      <c r="T54" s="79">
        <v>1.3</v>
      </c>
      <c r="U54" s="80">
        <v>4420.7736046943683</v>
      </c>
      <c r="V54" s="80">
        <v>5</v>
      </c>
      <c r="W54" s="80">
        <v>0</v>
      </c>
      <c r="X54" s="81">
        <v>0</v>
      </c>
      <c r="Z54" s="11">
        <v>27.71</v>
      </c>
      <c r="AA54" s="105">
        <v>0.45</v>
      </c>
      <c r="AB54" s="105">
        <v>0.98</v>
      </c>
      <c r="AC54" s="106">
        <v>8</v>
      </c>
      <c r="AD54" s="107">
        <v>1697.58</v>
      </c>
      <c r="AE54" s="107">
        <v>17683.094418777473</v>
      </c>
      <c r="AF54" s="108"/>
      <c r="AG54" s="168">
        <v>2.8</v>
      </c>
      <c r="AI54" s="11">
        <v>8</v>
      </c>
      <c r="AJ54" s="106">
        <v>35.366188837554944</v>
      </c>
      <c r="AK54" s="106">
        <v>9.3699999999999992</v>
      </c>
      <c r="AL54" s="106">
        <v>41.43</v>
      </c>
      <c r="AM54" s="106">
        <v>8</v>
      </c>
      <c r="AN54" s="106">
        <v>35.366188837554944</v>
      </c>
      <c r="AO54" s="106">
        <v>9.3699999999999992</v>
      </c>
      <c r="AP54" s="106">
        <v>41.43</v>
      </c>
      <c r="AQ54" s="108"/>
      <c r="AR54" s="168">
        <v>1.98</v>
      </c>
      <c r="AT54" s="11">
        <v>8</v>
      </c>
      <c r="AU54" s="106">
        <v>35.366188837554944</v>
      </c>
      <c r="AV54" s="106">
        <v>9.0753580686014566</v>
      </c>
      <c r="AW54" s="106">
        <v>40.120103402823368</v>
      </c>
      <c r="AX54" s="108"/>
      <c r="AY54" s="168">
        <v>1.9730028856883197</v>
      </c>
      <c r="AZ54" s="10"/>
      <c r="BA54" s="123">
        <v>2.8</v>
      </c>
      <c r="BB54" s="124">
        <v>3.58</v>
      </c>
      <c r="BC54" s="124">
        <v>2.09</v>
      </c>
      <c r="BD54" s="124">
        <v>1.1200000000000001</v>
      </c>
      <c r="BE54" s="124">
        <v>0.8</v>
      </c>
      <c r="BF54" s="109" t="s">
        <v>172</v>
      </c>
      <c r="BG54" s="125" t="s">
        <v>173</v>
      </c>
      <c r="BH54" s="125" t="s">
        <v>170</v>
      </c>
      <c r="BI54" s="125"/>
      <c r="BJ54" s="125"/>
      <c r="BK54" s="125"/>
      <c r="BL54" s="126" t="s">
        <v>174</v>
      </c>
      <c r="BM54" s="125"/>
      <c r="BN54" s="125"/>
      <c r="BO54" s="125">
        <v>0.6</v>
      </c>
      <c r="BP54" s="125">
        <v>0.7</v>
      </c>
      <c r="BQ54" s="125">
        <v>0.7</v>
      </c>
      <c r="BR54" s="126"/>
    </row>
    <row r="55" spans="2:70" x14ac:dyDescent="0.6">
      <c r="B55" s="89" t="s">
        <v>95</v>
      </c>
      <c r="C55" s="90" t="s">
        <v>46</v>
      </c>
      <c r="D55" s="90" t="s">
        <v>55</v>
      </c>
      <c r="E55" s="90" t="s">
        <v>48</v>
      </c>
      <c r="F55" s="90" t="s">
        <v>49</v>
      </c>
      <c r="G55" s="90" t="s">
        <v>169</v>
      </c>
      <c r="H55" s="90" t="s">
        <v>177</v>
      </c>
      <c r="I55" s="91">
        <f>VLOOKUP(H55,'Listen und Kennwerte'!$B$4:$O$11,5,FALSE)</f>
        <v>24</v>
      </c>
      <c r="J55" s="91">
        <f>VLOOKUP(H55,'Listen und Kennwerte'!$B$4:$O$11,2,FALSE)</f>
        <v>24</v>
      </c>
      <c r="K55" s="92">
        <f>VLOOKUP(H55,'Listen und Kennwerte'!$B$4:$O$11,8,FALSE)</f>
        <v>11500</v>
      </c>
      <c r="L55" s="92">
        <f>VLOOKUP(H55,'Listen und Kennwerte'!$B$4:$O$11,9,FALSE)</f>
        <v>9600</v>
      </c>
      <c r="M55" s="90" t="s">
        <v>136</v>
      </c>
      <c r="N55" s="93">
        <v>4</v>
      </c>
      <c r="O55" s="93">
        <v>0.5</v>
      </c>
      <c r="P55" s="93">
        <v>0.5</v>
      </c>
      <c r="Q55" s="90">
        <v>1</v>
      </c>
      <c r="R55" s="90" t="s">
        <v>171</v>
      </c>
      <c r="S55" s="93">
        <v>0.6</v>
      </c>
      <c r="T55" s="93">
        <v>1.3</v>
      </c>
      <c r="U55" s="94">
        <v>3774.4556760520941</v>
      </c>
      <c r="V55" s="94">
        <v>5</v>
      </c>
      <c r="W55" s="94">
        <v>0</v>
      </c>
      <c r="X55" s="95">
        <v>0</v>
      </c>
      <c r="Z55" s="113">
        <v>27.71</v>
      </c>
      <c r="AA55" s="114">
        <v>0.45</v>
      </c>
      <c r="AB55" s="114">
        <v>0.98</v>
      </c>
      <c r="AC55" s="115">
        <v>8</v>
      </c>
      <c r="AD55" s="116">
        <v>1449.39</v>
      </c>
      <c r="AE55" s="116">
        <v>15097.822704208376</v>
      </c>
      <c r="AF55" s="117"/>
      <c r="AG55" s="167">
        <v>2.08</v>
      </c>
      <c r="AI55" s="113">
        <v>8</v>
      </c>
      <c r="AJ55" s="115">
        <v>30.195645408416752</v>
      </c>
      <c r="AK55" s="115">
        <v>9.14</v>
      </c>
      <c r="AL55" s="115">
        <v>34.51</v>
      </c>
      <c r="AM55" s="115">
        <v>8</v>
      </c>
      <c r="AN55" s="115">
        <v>30.195645408416752</v>
      </c>
      <c r="AO55" s="115">
        <v>9.14</v>
      </c>
      <c r="AP55" s="115">
        <v>34.51</v>
      </c>
      <c r="AQ55" s="117"/>
      <c r="AR55" s="167">
        <v>1.69</v>
      </c>
      <c r="AT55" s="113">
        <v>8</v>
      </c>
      <c r="AU55" s="115">
        <v>30.195645408416752</v>
      </c>
      <c r="AV55" s="115">
        <v>8.9004897655021953</v>
      </c>
      <c r="AW55" s="115">
        <v>33.594504115043335</v>
      </c>
      <c r="AX55" s="117"/>
      <c r="AY55" s="167">
        <v>1.6788292113782295</v>
      </c>
      <c r="AZ55" s="10"/>
      <c r="BA55" s="131">
        <v>2.08</v>
      </c>
      <c r="BB55" s="132">
        <v>2.64</v>
      </c>
      <c r="BC55" s="132">
        <v>1.55</v>
      </c>
      <c r="BD55" s="132">
        <v>0.96</v>
      </c>
      <c r="BE55" s="132">
        <v>0.8</v>
      </c>
      <c r="BF55" s="118" t="s">
        <v>172</v>
      </c>
      <c r="BG55" s="133" t="s">
        <v>173</v>
      </c>
      <c r="BH55" s="133" t="s">
        <v>170</v>
      </c>
      <c r="BI55" s="133"/>
      <c r="BJ55" s="133"/>
      <c r="BK55" s="133"/>
      <c r="BL55" s="134" t="s">
        <v>174</v>
      </c>
      <c r="BM55" s="133"/>
      <c r="BN55" s="133"/>
      <c r="BO55" s="133">
        <v>0.6</v>
      </c>
      <c r="BP55" s="133">
        <v>0.65</v>
      </c>
      <c r="BQ55" s="133">
        <v>0.65</v>
      </c>
      <c r="BR55" s="134"/>
    </row>
    <row r="56" spans="2:70" x14ac:dyDescent="0.6">
      <c r="B56" s="75" t="s">
        <v>96</v>
      </c>
      <c r="C56" s="76" t="s">
        <v>46</v>
      </c>
      <c r="D56" s="76" t="s">
        <v>55</v>
      </c>
      <c r="E56" s="76" t="s">
        <v>48</v>
      </c>
      <c r="F56" s="76" t="s">
        <v>49</v>
      </c>
      <c r="G56" s="76" t="s">
        <v>169</v>
      </c>
      <c r="H56" s="76" t="s">
        <v>177</v>
      </c>
      <c r="I56" s="77">
        <f>VLOOKUP(H56,'Listen und Kennwerte'!$B$4:$O$11,5,FALSE)</f>
        <v>24</v>
      </c>
      <c r="J56" s="77">
        <f>VLOOKUP(H56,'Listen und Kennwerte'!$B$4:$O$11,2,FALSE)</f>
        <v>24</v>
      </c>
      <c r="K56" s="78">
        <f>VLOOKUP(H56,'Listen und Kennwerte'!$B$4:$O$11,8,FALSE)</f>
        <v>11500</v>
      </c>
      <c r="L56" s="78">
        <f>VLOOKUP(H56,'Listen und Kennwerte'!$B$4:$O$11,9,FALSE)</f>
        <v>9600</v>
      </c>
      <c r="M56" s="76" t="s">
        <v>136</v>
      </c>
      <c r="N56" s="79">
        <v>4</v>
      </c>
      <c r="O56" s="79">
        <v>0.5</v>
      </c>
      <c r="P56" s="79">
        <v>0.5</v>
      </c>
      <c r="Q56" s="76">
        <v>1</v>
      </c>
      <c r="R56" s="76" t="s">
        <v>171</v>
      </c>
      <c r="S56" s="79">
        <v>0.6</v>
      </c>
      <c r="T56" s="79">
        <v>1.3</v>
      </c>
      <c r="U56" s="80">
        <v>3416.546924194337</v>
      </c>
      <c r="V56" s="80">
        <v>5</v>
      </c>
      <c r="W56" s="80">
        <v>0</v>
      </c>
      <c r="X56" s="81">
        <v>0</v>
      </c>
      <c r="Z56" s="11">
        <v>27.71</v>
      </c>
      <c r="AA56" s="105">
        <v>0.45</v>
      </c>
      <c r="AB56" s="105">
        <v>0.98</v>
      </c>
      <c r="AC56" s="106">
        <v>8</v>
      </c>
      <c r="AD56" s="107">
        <v>1311.95</v>
      </c>
      <c r="AE56" s="107">
        <v>13666.187696777348</v>
      </c>
      <c r="AF56" s="108"/>
      <c r="AG56" s="168">
        <v>1.72</v>
      </c>
      <c r="AI56" s="11">
        <v>8</v>
      </c>
      <c r="AJ56" s="106">
        <v>27.332375393554695</v>
      </c>
      <c r="AK56" s="106">
        <v>9.02</v>
      </c>
      <c r="AL56" s="106">
        <v>30.82</v>
      </c>
      <c r="AM56" s="106">
        <v>8</v>
      </c>
      <c r="AN56" s="106">
        <v>27.332375393554695</v>
      </c>
      <c r="AO56" s="106">
        <v>9.02</v>
      </c>
      <c r="AP56" s="106">
        <v>30.82</v>
      </c>
      <c r="AQ56" s="108"/>
      <c r="AR56" s="168">
        <v>1.52</v>
      </c>
      <c r="AT56" s="11">
        <v>8</v>
      </c>
      <c r="AU56" s="106">
        <v>27.332375393554695</v>
      </c>
      <c r="AV56" s="106">
        <v>8.8064635441910983</v>
      </c>
      <c r="AW56" s="106">
        <v>30.087695934935656</v>
      </c>
      <c r="AX56" s="108"/>
      <c r="AY56" s="168">
        <v>1.5168518906395236</v>
      </c>
      <c r="AZ56" s="10"/>
      <c r="BA56" s="123">
        <v>1.72</v>
      </c>
      <c r="BB56" s="124">
        <v>2.19</v>
      </c>
      <c r="BC56" s="124">
        <v>1.3</v>
      </c>
      <c r="BD56" s="124">
        <v>0.86</v>
      </c>
      <c r="BE56" s="124">
        <v>0.73</v>
      </c>
      <c r="BF56" s="109" t="s">
        <v>172</v>
      </c>
      <c r="BG56" s="125" t="s">
        <v>173</v>
      </c>
      <c r="BH56" s="125" t="s">
        <v>170</v>
      </c>
      <c r="BI56" s="125"/>
      <c r="BJ56" s="125"/>
      <c r="BK56" s="125"/>
      <c r="BL56" s="126" t="s">
        <v>174</v>
      </c>
      <c r="BM56" s="125"/>
      <c r="BN56" s="125"/>
      <c r="BO56" s="125">
        <v>0.6</v>
      </c>
      <c r="BP56" s="125">
        <v>0.65</v>
      </c>
      <c r="BQ56" s="125">
        <v>0.65</v>
      </c>
      <c r="BR56" s="126"/>
    </row>
    <row r="57" spans="2:70" x14ac:dyDescent="0.6">
      <c r="B57" s="89" t="s">
        <v>97</v>
      </c>
      <c r="C57" s="90" t="s">
        <v>46</v>
      </c>
      <c r="D57" s="90" t="s">
        <v>55</v>
      </c>
      <c r="E57" s="90" t="s">
        <v>48</v>
      </c>
      <c r="F57" s="90" t="s">
        <v>49</v>
      </c>
      <c r="G57" s="90" t="s">
        <v>169</v>
      </c>
      <c r="H57" s="90" t="s">
        <v>177</v>
      </c>
      <c r="I57" s="91">
        <f>VLOOKUP(H57,'Listen und Kennwerte'!$B$4:$O$11,5,FALSE)</f>
        <v>24</v>
      </c>
      <c r="J57" s="91">
        <f>VLOOKUP(H57,'Listen und Kennwerte'!$B$4:$O$11,2,FALSE)</f>
        <v>24</v>
      </c>
      <c r="K57" s="92">
        <f>VLOOKUP(H57,'Listen und Kennwerte'!$B$4:$O$11,8,FALSE)</f>
        <v>11500</v>
      </c>
      <c r="L57" s="92">
        <f>VLOOKUP(H57,'Listen und Kennwerte'!$B$4:$O$11,9,FALSE)</f>
        <v>9600</v>
      </c>
      <c r="M57" s="90" t="s">
        <v>136</v>
      </c>
      <c r="N57" s="93">
        <v>4</v>
      </c>
      <c r="O57" s="93">
        <v>0.5</v>
      </c>
      <c r="P57" s="93">
        <v>0.5</v>
      </c>
      <c r="Q57" s="90">
        <v>1</v>
      </c>
      <c r="R57" s="90" t="s">
        <v>171</v>
      </c>
      <c r="S57" s="93">
        <v>0.6</v>
      </c>
      <c r="T57" s="93">
        <v>1.3</v>
      </c>
      <c r="U57" s="94">
        <v>4619.3091971969607</v>
      </c>
      <c r="V57" s="94">
        <v>5</v>
      </c>
      <c r="W57" s="94">
        <v>0</v>
      </c>
      <c r="X57" s="95">
        <v>0</v>
      </c>
      <c r="Z57" s="113">
        <v>27.71</v>
      </c>
      <c r="AA57" s="114">
        <v>0.45</v>
      </c>
      <c r="AB57" s="114">
        <v>0.98</v>
      </c>
      <c r="AC57" s="115">
        <v>8</v>
      </c>
      <c r="AD57" s="116">
        <v>1773.81</v>
      </c>
      <c r="AE57" s="116">
        <v>18477.236788787843</v>
      </c>
      <c r="AF57" s="117"/>
      <c r="AG57" s="167">
        <v>3.05</v>
      </c>
      <c r="AI57" s="113">
        <v>8</v>
      </c>
      <c r="AJ57" s="115">
        <v>36.954473577575683</v>
      </c>
      <c r="AK57" s="115">
        <v>9.44</v>
      </c>
      <c r="AL57" s="115">
        <v>43.63</v>
      </c>
      <c r="AM57" s="115">
        <v>8</v>
      </c>
      <c r="AN57" s="115">
        <v>36.954473577575683</v>
      </c>
      <c r="AO57" s="115">
        <v>9.44</v>
      </c>
      <c r="AP57" s="115">
        <v>43.63</v>
      </c>
      <c r="AQ57" s="117"/>
      <c r="AR57" s="167">
        <v>2.08</v>
      </c>
      <c r="AT57" s="113">
        <v>8</v>
      </c>
      <c r="AU57" s="115">
        <v>36.954473577575683</v>
      </c>
      <c r="AV57" s="115">
        <v>9.1306194293512348</v>
      </c>
      <c r="AW57" s="115">
        <v>42.177154306107418</v>
      </c>
      <c r="AX57" s="117"/>
      <c r="AY57" s="167">
        <v>2.0638221767754348</v>
      </c>
      <c r="AZ57" s="10"/>
      <c r="BA57" s="131">
        <v>3.05</v>
      </c>
      <c r="BB57" s="132">
        <v>3.9</v>
      </c>
      <c r="BC57" s="132">
        <v>2.27</v>
      </c>
      <c r="BD57" s="132">
        <v>1.17</v>
      </c>
      <c r="BE57" s="132">
        <v>0.84</v>
      </c>
      <c r="BF57" s="118" t="s">
        <v>255</v>
      </c>
      <c r="BG57" s="133" t="s">
        <v>173</v>
      </c>
      <c r="BH57" s="133" t="s">
        <v>170</v>
      </c>
      <c r="BI57" s="133"/>
      <c r="BJ57" s="133"/>
      <c r="BK57" s="133"/>
      <c r="BL57" s="134" t="s">
        <v>174</v>
      </c>
      <c r="BM57" s="133"/>
      <c r="BN57" s="133"/>
      <c r="BO57" s="133">
        <v>0.6</v>
      </c>
      <c r="BP57" s="133">
        <v>0.7</v>
      </c>
      <c r="BQ57" s="133">
        <v>0.75</v>
      </c>
      <c r="BR57" s="134"/>
    </row>
    <row r="58" spans="2:70" x14ac:dyDescent="0.6">
      <c r="B58" s="75" t="s">
        <v>98</v>
      </c>
      <c r="C58" s="76" t="s">
        <v>46</v>
      </c>
      <c r="D58" s="76" t="s">
        <v>55</v>
      </c>
      <c r="E58" s="76" t="s">
        <v>48</v>
      </c>
      <c r="F58" s="76" t="s">
        <v>49</v>
      </c>
      <c r="G58" s="76" t="s">
        <v>169</v>
      </c>
      <c r="H58" s="76" t="s">
        <v>177</v>
      </c>
      <c r="I58" s="77">
        <f>VLOOKUP(H58,'Listen und Kennwerte'!$B$4:$O$11,5,FALSE)</f>
        <v>24</v>
      </c>
      <c r="J58" s="77">
        <f>VLOOKUP(H58,'Listen und Kennwerte'!$B$4:$O$11,2,FALSE)</f>
        <v>24</v>
      </c>
      <c r="K58" s="78">
        <f>VLOOKUP(H58,'Listen und Kennwerte'!$B$4:$O$11,8,FALSE)</f>
        <v>11500</v>
      </c>
      <c r="L58" s="78">
        <f>VLOOKUP(H58,'Listen und Kennwerte'!$B$4:$O$11,9,FALSE)</f>
        <v>9600</v>
      </c>
      <c r="M58" s="76" t="s">
        <v>136</v>
      </c>
      <c r="N58" s="79">
        <v>4</v>
      </c>
      <c r="O58" s="79">
        <v>0.5</v>
      </c>
      <c r="P58" s="79">
        <v>0.5</v>
      </c>
      <c r="Q58" s="76">
        <v>1</v>
      </c>
      <c r="R58" s="76" t="s">
        <v>171</v>
      </c>
      <c r="S58" s="79">
        <v>0.6</v>
      </c>
      <c r="T58" s="79">
        <v>1.3</v>
      </c>
      <c r="U58" s="80">
        <v>3668.5396215934784</v>
      </c>
      <c r="V58" s="80">
        <v>5</v>
      </c>
      <c r="W58" s="80">
        <v>0</v>
      </c>
      <c r="X58" s="81">
        <v>0</v>
      </c>
      <c r="Z58" s="11">
        <v>27.71</v>
      </c>
      <c r="AA58" s="105">
        <v>0.45</v>
      </c>
      <c r="AB58" s="105">
        <v>0.98</v>
      </c>
      <c r="AC58" s="106">
        <v>8</v>
      </c>
      <c r="AD58" s="107">
        <v>1408.72</v>
      </c>
      <c r="AE58" s="107">
        <v>14674.158486373914</v>
      </c>
      <c r="AF58" s="108"/>
      <c r="AG58" s="168">
        <v>1.97</v>
      </c>
      <c r="AI58" s="11">
        <v>8</v>
      </c>
      <c r="AJ58" s="106">
        <v>29.348316972747828</v>
      </c>
      <c r="AK58" s="106">
        <v>9.11</v>
      </c>
      <c r="AL58" s="106">
        <v>33.409999999999997</v>
      </c>
      <c r="AM58" s="106">
        <v>8</v>
      </c>
      <c r="AN58" s="106">
        <v>29.348316972747828</v>
      </c>
      <c r="AO58" s="106">
        <v>9.11</v>
      </c>
      <c r="AP58" s="106">
        <v>33.409999999999997</v>
      </c>
      <c r="AQ58" s="108"/>
      <c r="AR58" s="168">
        <v>1.64</v>
      </c>
      <c r="AT58" s="11">
        <v>8</v>
      </c>
      <c r="AU58" s="106">
        <v>29.348316972747828</v>
      </c>
      <c r="AV58" s="106">
        <v>8.8724347122112395</v>
      </c>
      <c r="AW58" s="106">
        <v>32.548878281748266</v>
      </c>
      <c r="AX58" s="108"/>
      <c r="AY58" s="168">
        <v>1.6308271335445386</v>
      </c>
      <c r="AZ58" s="10"/>
      <c r="BA58" s="123">
        <v>1.97</v>
      </c>
      <c r="BB58" s="124">
        <v>2.5</v>
      </c>
      <c r="BC58" s="124">
        <v>1.47</v>
      </c>
      <c r="BD58" s="124">
        <v>0.93</v>
      </c>
      <c r="BE58" s="124">
        <v>0.78</v>
      </c>
      <c r="BF58" s="109" t="s">
        <v>172</v>
      </c>
      <c r="BG58" s="125" t="s">
        <v>173</v>
      </c>
      <c r="BH58" s="125" t="s">
        <v>170</v>
      </c>
      <c r="BI58" s="125"/>
      <c r="BJ58" s="125"/>
      <c r="BK58" s="125"/>
      <c r="BL58" s="126" t="s">
        <v>174</v>
      </c>
      <c r="BM58" s="125"/>
      <c r="BN58" s="125"/>
      <c r="BO58" s="125">
        <v>0.6</v>
      </c>
      <c r="BP58" s="125">
        <v>0.65</v>
      </c>
      <c r="BQ58" s="125">
        <v>0.65</v>
      </c>
      <c r="BR58" s="126"/>
    </row>
    <row r="59" spans="2:70" x14ac:dyDescent="0.6">
      <c r="B59" s="89" t="s">
        <v>99</v>
      </c>
      <c r="C59" s="90" t="s">
        <v>46</v>
      </c>
      <c r="D59" s="90" t="s">
        <v>47</v>
      </c>
      <c r="E59" s="90" t="s">
        <v>48</v>
      </c>
      <c r="F59" s="90" t="s">
        <v>49</v>
      </c>
      <c r="G59" s="90" t="s">
        <v>169</v>
      </c>
      <c r="H59" s="90" t="s">
        <v>177</v>
      </c>
      <c r="I59" s="91">
        <f>VLOOKUP(H59,'Listen und Kennwerte'!$B$4:$O$11,5,FALSE)</f>
        <v>24</v>
      </c>
      <c r="J59" s="91">
        <f>VLOOKUP(H59,'Listen und Kennwerte'!$B$4:$O$11,2,FALSE)</f>
        <v>24</v>
      </c>
      <c r="K59" s="92">
        <f>VLOOKUP(H59,'Listen und Kennwerte'!$B$4:$O$11,8,FALSE)</f>
        <v>11500</v>
      </c>
      <c r="L59" s="92">
        <f>VLOOKUP(H59,'Listen und Kennwerte'!$B$4:$O$11,9,FALSE)</f>
        <v>9600</v>
      </c>
      <c r="M59" s="90" t="s">
        <v>136</v>
      </c>
      <c r="N59" s="93">
        <v>7.8</v>
      </c>
      <c r="O59" s="93">
        <v>0.6</v>
      </c>
      <c r="P59" s="93">
        <v>0.6</v>
      </c>
      <c r="Q59" s="90">
        <v>1</v>
      </c>
      <c r="R59" s="90" t="s">
        <v>171</v>
      </c>
      <c r="S59" s="93">
        <v>0.6</v>
      </c>
      <c r="T59" s="93">
        <v>1.3</v>
      </c>
      <c r="U59" s="94">
        <v>4918.1496809676355</v>
      </c>
      <c r="V59" s="94">
        <v>5</v>
      </c>
      <c r="W59" s="94">
        <v>0</v>
      </c>
      <c r="X59" s="95">
        <v>0</v>
      </c>
      <c r="Z59" s="113">
        <v>45.03</v>
      </c>
      <c r="AA59" s="114">
        <v>0.72</v>
      </c>
      <c r="AB59" s="114">
        <v>0.92</v>
      </c>
      <c r="AC59" s="115">
        <v>15.6</v>
      </c>
      <c r="AD59" s="116">
        <v>2131.1999999999998</v>
      </c>
      <c r="AE59" s="116">
        <v>13661.526891576767</v>
      </c>
      <c r="AF59" s="117"/>
      <c r="AG59" s="167">
        <v>1.84</v>
      </c>
      <c r="AI59" s="113">
        <v>15.6</v>
      </c>
      <c r="AJ59" s="115">
        <v>76.723135023095111</v>
      </c>
      <c r="AK59" s="115">
        <v>22.24</v>
      </c>
      <c r="AL59" s="115">
        <v>109.39</v>
      </c>
      <c r="AM59" s="115">
        <v>15.6</v>
      </c>
      <c r="AN59" s="115">
        <v>76.723135023095111</v>
      </c>
      <c r="AO59" s="115">
        <v>22.24</v>
      </c>
      <c r="AP59" s="115">
        <v>109.39</v>
      </c>
      <c r="AQ59" s="117"/>
      <c r="AR59" s="167">
        <v>1.88</v>
      </c>
      <c r="AT59" s="113">
        <v>15.6</v>
      </c>
      <c r="AU59" s="115">
        <v>76.723135023095111</v>
      </c>
      <c r="AV59" s="115">
        <v>20.638819544802697</v>
      </c>
      <c r="AW59" s="115">
        <v>101.50480375981998</v>
      </c>
      <c r="AX59" s="117"/>
      <c r="AY59" s="167">
        <v>1.8439815376493418</v>
      </c>
      <c r="AZ59" s="10"/>
      <c r="BA59" s="131">
        <v>1.88</v>
      </c>
      <c r="BB59" s="132">
        <v>2.31</v>
      </c>
      <c r="BC59" s="132">
        <v>1.6</v>
      </c>
      <c r="BD59" s="132">
        <v>1.06</v>
      </c>
      <c r="BE59" s="132">
        <v>0.77</v>
      </c>
      <c r="BF59" s="118" t="s">
        <v>172</v>
      </c>
      <c r="BG59" s="133" t="s">
        <v>173</v>
      </c>
      <c r="BH59" s="133" t="s">
        <v>170</v>
      </c>
      <c r="BI59" s="133"/>
      <c r="BJ59" s="133"/>
      <c r="BK59" s="133"/>
      <c r="BL59" s="134" t="s">
        <v>174</v>
      </c>
      <c r="BM59" s="133"/>
      <c r="BN59" s="133"/>
      <c r="BO59" s="133">
        <v>0.7</v>
      </c>
      <c r="BP59" s="133">
        <v>0.8</v>
      </c>
      <c r="BQ59" s="133">
        <v>0.8</v>
      </c>
      <c r="BR59" s="134" t="s">
        <v>174</v>
      </c>
    </row>
    <row r="60" spans="2:70" x14ac:dyDescent="0.6">
      <c r="B60" s="75" t="s">
        <v>100</v>
      </c>
      <c r="C60" s="76" t="s">
        <v>46</v>
      </c>
      <c r="D60" s="76" t="s">
        <v>47</v>
      </c>
      <c r="E60" s="76" t="s">
        <v>48</v>
      </c>
      <c r="F60" s="76" t="s">
        <v>49</v>
      </c>
      <c r="G60" s="76" t="s">
        <v>169</v>
      </c>
      <c r="H60" s="76" t="s">
        <v>177</v>
      </c>
      <c r="I60" s="77">
        <f>VLOOKUP(H60,'Listen und Kennwerte'!$B$4:$O$11,5,FALSE)</f>
        <v>24</v>
      </c>
      <c r="J60" s="77">
        <f>VLOOKUP(H60,'Listen und Kennwerte'!$B$4:$O$11,2,FALSE)</f>
        <v>24</v>
      </c>
      <c r="K60" s="78">
        <f>VLOOKUP(H60,'Listen und Kennwerte'!$B$4:$O$11,8,FALSE)</f>
        <v>11500</v>
      </c>
      <c r="L60" s="78">
        <f>VLOOKUP(H60,'Listen und Kennwerte'!$B$4:$O$11,9,FALSE)</f>
        <v>9600</v>
      </c>
      <c r="M60" s="76" t="s">
        <v>136</v>
      </c>
      <c r="N60" s="79">
        <v>7.8</v>
      </c>
      <c r="O60" s="79">
        <v>0.6</v>
      </c>
      <c r="P60" s="79">
        <v>0.6</v>
      </c>
      <c r="Q60" s="76">
        <v>1</v>
      </c>
      <c r="R60" s="76" t="s">
        <v>171</v>
      </c>
      <c r="S60" s="79">
        <v>0.6</v>
      </c>
      <c r="T60" s="79">
        <v>1.3</v>
      </c>
      <c r="U60" s="80">
        <v>5224.0085414412652</v>
      </c>
      <c r="V60" s="80">
        <v>5</v>
      </c>
      <c r="W60" s="80">
        <v>0</v>
      </c>
      <c r="X60" s="81">
        <v>0</v>
      </c>
      <c r="Z60" s="11">
        <v>45.03</v>
      </c>
      <c r="AA60" s="105">
        <v>0.72</v>
      </c>
      <c r="AB60" s="105">
        <v>0.92</v>
      </c>
      <c r="AC60" s="106">
        <v>15.6</v>
      </c>
      <c r="AD60" s="107">
        <v>2263.7399999999998</v>
      </c>
      <c r="AE60" s="107">
        <v>14511.134837336847</v>
      </c>
      <c r="AF60" s="108"/>
      <c r="AG60" s="168">
        <v>2.06</v>
      </c>
      <c r="AI60" s="11">
        <v>15.6</v>
      </c>
      <c r="AJ60" s="106">
        <v>81.494533246483726</v>
      </c>
      <c r="AK60" s="106">
        <v>22.85</v>
      </c>
      <c r="AL60" s="106">
        <v>119.35</v>
      </c>
      <c r="AM60" s="106">
        <v>15.6</v>
      </c>
      <c r="AN60" s="106">
        <v>81.494533246483726</v>
      </c>
      <c r="AO60" s="106">
        <v>22.85</v>
      </c>
      <c r="AP60" s="106">
        <v>119.35</v>
      </c>
      <c r="AQ60" s="108"/>
      <c r="AR60" s="168">
        <v>2.02</v>
      </c>
      <c r="AT60" s="11">
        <v>15.6</v>
      </c>
      <c r="AU60" s="106">
        <v>81.494533246483726</v>
      </c>
      <c r="AV60" s="106">
        <v>21.062316383698061</v>
      </c>
      <c r="AW60" s="106">
        <v>110.02972069097702</v>
      </c>
      <c r="AX60" s="108"/>
      <c r="AY60" s="168">
        <v>1.9697543207024479</v>
      </c>
      <c r="AZ60" s="10"/>
      <c r="BA60" s="123">
        <v>2.06</v>
      </c>
      <c r="BB60" s="124">
        <v>2.58</v>
      </c>
      <c r="BC60" s="124">
        <v>1.71</v>
      </c>
      <c r="BD60" s="124">
        <v>1.1299999999999999</v>
      </c>
      <c r="BE60" s="124">
        <v>0.82</v>
      </c>
      <c r="BF60" s="109" t="s">
        <v>172</v>
      </c>
      <c r="BG60" s="125" t="s">
        <v>173</v>
      </c>
      <c r="BH60" s="125" t="s">
        <v>170</v>
      </c>
      <c r="BI60" s="125"/>
      <c r="BJ60" s="125"/>
      <c r="BK60" s="125"/>
      <c r="BL60" s="126" t="s">
        <v>174</v>
      </c>
      <c r="BM60" s="125"/>
      <c r="BN60" s="125"/>
      <c r="BO60" s="125">
        <v>0.7</v>
      </c>
      <c r="BP60" s="125">
        <v>0.8</v>
      </c>
      <c r="BQ60" s="125">
        <v>0.8</v>
      </c>
      <c r="BR60" s="126" t="s">
        <v>174</v>
      </c>
    </row>
    <row r="61" spans="2:70" x14ac:dyDescent="0.6">
      <c r="B61" s="89" t="s">
        <v>101</v>
      </c>
      <c r="C61" s="90" t="s">
        <v>46</v>
      </c>
      <c r="D61" s="90" t="s">
        <v>47</v>
      </c>
      <c r="E61" s="90" t="s">
        <v>48</v>
      </c>
      <c r="F61" s="90" t="s">
        <v>49</v>
      </c>
      <c r="G61" s="90" t="s">
        <v>169</v>
      </c>
      <c r="H61" s="90" t="s">
        <v>177</v>
      </c>
      <c r="I61" s="91">
        <f>VLOOKUP(H61,'Listen und Kennwerte'!$B$4:$O$11,5,FALSE)</f>
        <v>24</v>
      </c>
      <c r="J61" s="91">
        <f>VLOOKUP(H61,'Listen und Kennwerte'!$B$4:$O$11,2,FALSE)</f>
        <v>24</v>
      </c>
      <c r="K61" s="92">
        <f>VLOOKUP(H61,'Listen und Kennwerte'!$B$4:$O$11,8,FALSE)</f>
        <v>11500</v>
      </c>
      <c r="L61" s="92">
        <f>VLOOKUP(H61,'Listen und Kennwerte'!$B$4:$O$11,9,FALSE)</f>
        <v>9600</v>
      </c>
      <c r="M61" s="90" t="s">
        <v>136</v>
      </c>
      <c r="N61" s="93">
        <v>7.8</v>
      </c>
      <c r="O61" s="93">
        <v>0.6</v>
      </c>
      <c r="P61" s="93">
        <v>0.6</v>
      </c>
      <c r="Q61" s="90">
        <v>1</v>
      </c>
      <c r="R61" s="90" t="s">
        <v>171</v>
      </c>
      <c r="S61" s="93">
        <v>0.6</v>
      </c>
      <c r="T61" s="93">
        <v>1.3</v>
      </c>
      <c r="U61" s="94">
        <v>4792.4012312606019</v>
      </c>
      <c r="V61" s="94">
        <v>5</v>
      </c>
      <c r="W61" s="94">
        <v>0</v>
      </c>
      <c r="X61" s="95">
        <v>0</v>
      </c>
      <c r="Z61" s="113">
        <v>45.03</v>
      </c>
      <c r="AA61" s="114">
        <v>0.72</v>
      </c>
      <c r="AB61" s="114">
        <v>0.92</v>
      </c>
      <c r="AC61" s="115">
        <v>15.6</v>
      </c>
      <c r="AD61" s="116">
        <v>2076.71</v>
      </c>
      <c r="AE61" s="116">
        <v>13312.225642390562</v>
      </c>
      <c r="AF61" s="117"/>
      <c r="AG61" s="167">
        <v>1.76</v>
      </c>
      <c r="AI61" s="113">
        <v>15.6</v>
      </c>
      <c r="AJ61" s="115">
        <v>74.761459207665382</v>
      </c>
      <c r="AK61" s="115">
        <v>22</v>
      </c>
      <c r="AL61" s="115">
        <v>105.45</v>
      </c>
      <c r="AM61" s="115">
        <v>15.6</v>
      </c>
      <c r="AN61" s="115">
        <v>74.761459207665382</v>
      </c>
      <c r="AO61" s="115">
        <v>22</v>
      </c>
      <c r="AP61" s="115">
        <v>105.45</v>
      </c>
      <c r="AQ61" s="117"/>
      <c r="AR61" s="167">
        <v>1.83</v>
      </c>
      <c r="AT61" s="113">
        <v>15.6</v>
      </c>
      <c r="AU61" s="115">
        <v>74.761459207665382</v>
      </c>
      <c r="AV61" s="115">
        <v>20.469578495920711</v>
      </c>
      <c r="AW61" s="115">
        <v>98.098433187235955</v>
      </c>
      <c r="AX61" s="117"/>
      <c r="AY61" s="167">
        <v>1.7927662966916567</v>
      </c>
      <c r="AZ61" s="10"/>
      <c r="BA61" s="131">
        <v>1.83</v>
      </c>
      <c r="BB61" s="132">
        <v>2.2000000000000002</v>
      </c>
      <c r="BC61" s="132">
        <v>1.56</v>
      </c>
      <c r="BD61" s="132">
        <v>1.03</v>
      </c>
      <c r="BE61" s="132">
        <v>0.75</v>
      </c>
      <c r="BF61" s="118" t="s">
        <v>172</v>
      </c>
      <c r="BG61" s="133" t="s">
        <v>173</v>
      </c>
      <c r="BH61" s="133" t="s">
        <v>170</v>
      </c>
      <c r="BI61" s="133"/>
      <c r="BJ61" s="133"/>
      <c r="BK61" s="133"/>
      <c r="BL61" s="134" t="s">
        <v>174</v>
      </c>
      <c r="BM61" s="133"/>
      <c r="BN61" s="133"/>
      <c r="BO61" s="133">
        <v>0.7</v>
      </c>
      <c r="BP61" s="133">
        <v>0.8</v>
      </c>
      <c r="BQ61" s="133">
        <v>0.8</v>
      </c>
      <c r="BR61" s="134" t="s">
        <v>174</v>
      </c>
    </row>
    <row r="62" spans="2:70" x14ac:dyDescent="0.6">
      <c r="B62" s="75" t="s">
        <v>102</v>
      </c>
      <c r="C62" s="76" t="s">
        <v>46</v>
      </c>
      <c r="D62" s="76" t="s">
        <v>47</v>
      </c>
      <c r="E62" s="76" t="s">
        <v>48</v>
      </c>
      <c r="F62" s="76" t="s">
        <v>49</v>
      </c>
      <c r="G62" s="76" t="s">
        <v>169</v>
      </c>
      <c r="H62" s="76" t="s">
        <v>177</v>
      </c>
      <c r="I62" s="77">
        <f>VLOOKUP(H62,'Listen und Kennwerte'!$B$4:$O$11,5,FALSE)</f>
        <v>24</v>
      </c>
      <c r="J62" s="77">
        <f>VLOOKUP(H62,'Listen und Kennwerte'!$B$4:$O$11,2,FALSE)</f>
        <v>24</v>
      </c>
      <c r="K62" s="78">
        <f>VLOOKUP(H62,'Listen und Kennwerte'!$B$4:$O$11,8,FALSE)</f>
        <v>11500</v>
      </c>
      <c r="L62" s="78">
        <f>VLOOKUP(H62,'Listen und Kennwerte'!$B$4:$O$11,9,FALSE)</f>
        <v>9600</v>
      </c>
      <c r="M62" s="76" t="s">
        <v>136</v>
      </c>
      <c r="N62" s="79">
        <v>7.8</v>
      </c>
      <c r="O62" s="79">
        <v>0.6</v>
      </c>
      <c r="P62" s="79">
        <v>0.6</v>
      </c>
      <c r="Q62" s="76">
        <v>1</v>
      </c>
      <c r="R62" s="76" t="s">
        <v>171</v>
      </c>
      <c r="S62" s="79">
        <v>0.6</v>
      </c>
      <c r="T62" s="79">
        <v>1.3</v>
      </c>
      <c r="U62" s="80">
        <v>5398.20476367027</v>
      </c>
      <c r="V62" s="80">
        <v>5</v>
      </c>
      <c r="W62" s="80">
        <v>0</v>
      </c>
      <c r="X62" s="81">
        <v>0</v>
      </c>
      <c r="Z62" s="11">
        <v>45.03</v>
      </c>
      <c r="AA62" s="105">
        <v>0.72</v>
      </c>
      <c r="AB62" s="105">
        <v>0.92</v>
      </c>
      <c r="AC62" s="106">
        <v>15.6</v>
      </c>
      <c r="AD62" s="107">
        <v>2339.2199999999998</v>
      </c>
      <c r="AE62" s="107">
        <v>14995.013232417417</v>
      </c>
      <c r="AF62" s="108"/>
      <c r="AG62" s="168">
        <v>2.19</v>
      </c>
      <c r="AI62" s="11">
        <v>15.6</v>
      </c>
      <c r="AJ62" s="106">
        <v>84.211994313256213</v>
      </c>
      <c r="AK62" s="106">
        <v>23.21</v>
      </c>
      <c r="AL62" s="106">
        <v>125.27</v>
      </c>
      <c r="AM62" s="106">
        <v>15.6</v>
      </c>
      <c r="AN62" s="106">
        <v>84.211994313256213</v>
      </c>
      <c r="AO62" s="106">
        <v>23.21</v>
      </c>
      <c r="AP62" s="106">
        <v>125.27</v>
      </c>
      <c r="AQ62" s="108"/>
      <c r="AR62" s="168">
        <v>2.09</v>
      </c>
      <c r="AT62" s="11">
        <v>15.6</v>
      </c>
      <c r="AU62" s="106">
        <v>84.211994313256213</v>
      </c>
      <c r="AV62" s="106">
        <v>21.311131021384668</v>
      </c>
      <c r="AW62" s="106">
        <v>115.04184899884001</v>
      </c>
      <c r="AX62" s="108"/>
      <c r="AY62" s="168">
        <v>2.0421728929398246</v>
      </c>
      <c r="AZ62" s="10"/>
      <c r="BA62" s="123">
        <v>2.19</v>
      </c>
      <c r="BB62" s="124">
        <v>2.75</v>
      </c>
      <c r="BC62" s="124">
        <v>1.78</v>
      </c>
      <c r="BD62" s="124">
        <v>1.17</v>
      </c>
      <c r="BE62" s="124">
        <v>0.84</v>
      </c>
      <c r="BF62" s="109" t="s">
        <v>255</v>
      </c>
      <c r="BG62" s="125" t="s">
        <v>173</v>
      </c>
      <c r="BH62" s="125" t="s">
        <v>170</v>
      </c>
      <c r="BI62" s="125"/>
      <c r="BJ62" s="125"/>
      <c r="BK62" s="125"/>
      <c r="BL62" s="126" t="s">
        <v>174</v>
      </c>
      <c r="BM62" s="125"/>
      <c r="BN62" s="125"/>
      <c r="BO62" s="125">
        <v>0.7</v>
      </c>
      <c r="BP62" s="125">
        <v>0.8</v>
      </c>
      <c r="BQ62" s="125">
        <v>0.8</v>
      </c>
      <c r="BR62" s="126" t="s">
        <v>174</v>
      </c>
    </row>
    <row r="63" spans="2:70" x14ac:dyDescent="0.6">
      <c r="B63" s="89" t="s">
        <v>103</v>
      </c>
      <c r="C63" s="90" t="s">
        <v>46</v>
      </c>
      <c r="D63" s="90" t="s">
        <v>55</v>
      </c>
      <c r="E63" s="90" t="s">
        <v>48</v>
      </c>
      <c r="F63" s="90" t="s">
        <v>49</v>
      </c>
      <c r="G63" s="90" t="s">
        <v>169</v>
      </c>
      <c r="H63" s="90" t="s">
        <v>177</v>
      </c>
      <c r="I63" s="91">
        <f>VLOOKUP(H63,'Listen und Kennwerte'!$B$4:$O$11,5,FALSE)</f>
        <v>24</v>
      </c>
      <c r="J63" s="91">
        <f>VLOOKUP(H63,'Listen und Kennwerte'!$B$4:$O$11,2,FALSE)</f>
        <v>24</v>
      </c>
      <c r="K63" s="92">
        <f>VLOOKUP(H63,'Listen und Kennwerte'!$B$4:$O$11,8,FALSE)</f>
        <v>11500</v>
      </c>
      <c r="L63" s="92">
        <f>VLOOKUP(H63,'Listen und Kennwerte'!$B$4:$O$11,9,FALSE)</f>
        <v>9600</v>
      </c>
      <c r="M63" s="90" t="s">
        <v>136</v>
      </c>
      <c r="N63" s="93">
        <v>4</v>
      </c>
      <c r="O63" s="93">
        <v>0.5</v>
      </c>
      <c r="P63" s="93">
        <v>0.5</v>
      </c>
      <c r="Q63" s="90">
        <v>1</v>
      </c>
      <c r="R63" s="90" t="s">
        <v>171</v>
      </c>
      <c r="S63" s="93">
        <v>0.6</v>
      </c>
      <c r="T63" s="93">
        <v>1.3</v>
      </c>
      <c r="U63" s="94">
        <v>5657.4504714431814</v>
      </c>
      <c r="V63" s="94">
        <v>5</v>
      </c>
      <c r="W63" s="94">
        <v>0</v>
      </c>
      <c r="X63" s="95">
        <v>0</v>
      </c>
      <c r="Z63" s="113">
        <v>27.71</v>
      </c>
      <c r="AA63" s="114">
        <v>0.45</v>
      </c>
      <c r="AB63" s="114">
        <v>0.98</v>
      </c>
      <c r="AC63" s="115">
        <v>8</v>
      </c>
      <c r="AD63" s="116">
        <v>2172.46</v>
      </c>
      <c r="AE63" s="116">
        <v>22629.801885772726</v>
      </c>
      <c r="AF63" s="117"/>
      <c r="AG63" s="167">
        <v>4.5</v>
      </c>
      <c r="AI63" s="113">
        <v>8</v>
      </c>
      <c r="AJ63" s="115">
        <v>45.25960377154545</v>
      </c>
      <c r="AK63" s="115">
        <v>9.84</v>
      </c>
      <c r="AL63" s="115">
        <v>55.69</v>
      </c>
      <c r="AM63" s="115">
        <v>8</v>
      </c>
      <c r="AN63" s="115">
        <v>45.25960377154545</v>
      </c>
      <c r="AO63" s="115">
        <v>9.84</v>
      </c>
      <c r="AP63" s="115">
        <v>55.69</v>
      </c>
      <c r="AQ63" s="117"/>
      <c r="AR63" s="167">
        <v>2.56</v>
      </c>
      <c r="AT63" s="113">
        <v>8</v>
      </c>
      <c r="AU63" s="115">
        <v>45.25960377154545</v>
      </c>
      <c r="AV63" s="115">
        <v>9.4301095807120348</v>
      </c>
      <c r="AW63" s="115">
        <v>53.350377893160172</v>
      </c>
      <c r="AX63" s="117"/>
      <c r="AY63" s="167">
        <v>2.5423289291917852</v>
      </c>
      <c r="AZ63" s="10"/>
      <c r="BA63" s="131">
        <v>4.5</v>
      </c>
      <c r="BB63" s="132">
        <v>5.78</v>
      </c>
      <c r="BC63" s="132">
        <v>3.35</v>
      </c>
      <c r="BD63" s="132">
        <v>1.64</v>
      </c>
      <c r="BE63" s="132">
        <v>1.02</v>
      </c>
      <c r="BF63" s="118" t="s">
        <v>255</v>
      </c>
      <c r="BG63" s="133" t="s">
        <v>173</v>
      </c>
      <c r="BH63" s="133" t="s">
        <v>170</v>
      </c>
      <c r="BI63" s="133"/>
      <c r="BJ63" s="133"/>
      <c r="BK63" s="133"/>
      <c r="BL63" s="134" t="s">
        <v>174</v>
      </c>
      <c r="BM63" s="133"/>
      <c r="BN63" s="133"/>
      <c r="BO63" s="133">
        <v>0.6</v>
      </c>
      <c r="BP63" s="133">
        <v>0.7</v>
      </c>
      <c r="BQ63" s="133">
        <v>0.8</v>
      </c>
      <c r="BR63" s="134"/>
    </row>
    <row r="64" spans="2:70" x14ac:dyDescent="0.6">
      <c r="B64" s="75" t="s">
        <v>104</v>
      </c>
      <c r="C64" s="76" t="s">
        <v>46</v>
      </c>
      <c r="D64" s="76" t="s">
        <v>55</v>
      </c>
      <c r="E64" s="76" t="s">
        <v>48</v>
      </c>
      <c r="F64" s="76" t="s">
        <v>49</v>
      </c>
      <c r="G64" s="76" t="s">
        <v>169</v>
      </c>
      <c r="H64" s="76" t="s">
        <v>177</v>
      </c>
      <c r="I64" s="77">
        <f>VLOOKUP(H64,'Listen und Kennwerte'!$B$4:$O$11,5,FALSE)</f>
        <v>24</v>
      </c>
      <c r="J64" s="77">
        <f>VLOOKUP(H64,'Listen und Kennwerte'!$B$4:$O$11,2,FALSE)</f>
        <v>24</v>
      </c>
      <c r="K64" s="78">
        <f>VLOOKUP(H64,'Listen und Kennwerte'!$B$4:$O$11,8,FALSE)</f>
        <v>11500</v>
      </c>
      <c r="L64" s="78">
        <f>VLOOKUP(H64,'Listen und Kennwerte'!$B$4:$O$11,9,FALSE)</f>
        <v>9600</v>
      </c>
      <c r="M64" s="76" t="s">
        <v>136</v>
      </c>
      <c r="N64" s="79">
        <v>4</v>
      </c>
      <c r="O64" s="79">
        <v>0.5</v>
      </c>
      <c r="P64" s="79">
        <v>0.5</v>
      </c>
      <c r="Q64" s="76">
        <v>1</v>
      </c>
      <c r="R64" s="76" t="s">
        <v>171</v>
      </c>
      <c r="S64" s="79">
        <v>0.6</v>
      </c>
      <c r="T64" s="79">
        <v>1.3</v>
      </c>
      <c r="U64" s="80">
        <v>6049.7690612640381</v>
      </c>
      <c r="V64" s="80">
        <v>5</v>
      </c>
      <c r="W64" s="80">
        <v>0</v>
      </c>
      <c r="X64" s="81">
        <v>0</v>
      </c>
      <c r="Z64" s="11">
        <v>27.71</v>
      </c>
      <c r="AA64" s="105">
        <v>0.45</v>
      </c>
      <c r="AB64" s="105">
        <v>0.98</v>
      </c>
      <c r="AC64" s="106">
        <v>8</v>
      </c>
      <c r="AD64" s="107">
        <v>2323.11</v>
      </c>
      <c r="AE64" s="107">
        <v>24199.076245056152</v>
      </c>
      <c r="AF64" s="108"/>
      <c r="AG64" s="168">
        <v>5.12</v>
      </c>
      <c r="AI64" s="11">
        <v>8</v>
      </c>
      <c r="AJ64" s="106">
        <v>48.398152490112302</v>
      </c>
      <c r="AK64" s="106">
        <v>10</v>
      </c>
      <c r="AL64" s="106">
        <v>60.52</v>
      </c>
      <c r="AM64" s="106">
        <v>8</v>
      </c>
      <c r="AN64" s="106">
        <v>48.398152490112302</v>
      </c>
      <c r="AO64" s="106">
        <v>10</v>
      </c>
      <c r="AP64" s="106">
        <v>60.52</v>
      </c>
      <c r="AQ64" s="108"/>
      <c r="AR64" s="168">
        <v>2.75</v>
      </c>
      <c r="AT64" s="11">
        <v>8</v>
      </c>
      <c r="AU64" s="106">
        <v>48.398152490112302</v>
      </c>
      <c r="AV64" s="106">
        <v>9.5483949367571537</v>
      </c>
      <c r="AW64" s="106">
        <v>57.765584273123622</v>
      </c>
      <c r="AX64" s="108"/>
      <c r="AY64" s="168">
        <v>2.7248297949659186</v>
      </c>
      <c r="AZ64" s="10"/>
      <c r="BA64" s="123">
        <v>5.12</v>
      </c>
      <c r="BB64" s="124">
        <v>6.58</v>
      </c>
      <c r="BC64" s="124">
        <v>3.81</v>
      </c>
      <c r="BD64" s="124">
        <v>1.86</v>
      </c>
      <c r="BE64" s="124">
        <v>1.1000000000000001</v>
      </c>
      <c r="BF64" s="109" t="s">
        <v>255</v>
      </c>
      <c r="BG64" s="125" t="s">
        <v>173</v>
      </c>
      <c r="BH64" s="125" t="s">
        <v>170</v>
      </c>
      <c r="BI64" s="125"/>
      <c r="BJ64" s="125"/>
      <c r="BK64" s="125"/>
      <c r="BL64" s="126" t="s">
        <v>174</v>
      </c>
      <c r="BM64" s="125"/>
      <c r="BN64" s="125"/>
      <c r="BO64" s="125">
        <v>0.6</v>
      </c>
      <c r="BP64" s="125">
        <v>0.7</v>
      </c>
      <c r="BQ64" s="125">
        <v>0.8</v>
      </c>
      <c r="BR64" s="126"/>
    </row>
    <row r="65" spans="2:70" x14ac:dyDescent="0.6">
      <c r="B65" s="89" t="s">
        <v>105</v>
      </c>
      <c r="C65" s="90" t="s">
        <v>46</v>
      </c>
      <c r="D65" s="90" t="s">
        <v>55</v>
      </c>
      <c r="E65" s="90" t="s">
        <v>48</v>
      </c>
      <c r="F65" s="90" t="s">
        <v>49</v>
      </c>
      <c r="G65" s="90" t="s">
        <v>169</v>
      </c>
      <c r="H65" s="90" t="s">
        <v>177</v>
      </c>
      <c r="I65" s="91">
        <f>VLOOKUP(H65,'Listen und Kennwerte'!$B$4:$O$11,5,FALSE)</f>
        <v>24</v>
      </c>
      <c r="J65" s="91">
        <f>VLOOKUP(H65,'Listen und Kennwerte'!$B$4:$O$11,2,FALSE)</f>
        <v>24</v>
      </c>
      <c r="K65" s="92">
        <f>VLOOKUP(H65,'Listen und Kennwerte'!$B$4:$O$11,8,FALSE)</f>
        <v>11500</v>
      </c>
      <c r="L65" s="92">
        <f>VLOOKUP(H65,'Listen und Kennwerte'!$B$4:$O$11,9,FALSE)</f>
        <v>9600</v>
      </c>
      <c r="M65" s="90" t="s">
        <v>136</v>
      </c>
      <c r="N65" s="93">
        <v>4</v>
      </c>
      <c r="O65" s="93">
        <v>0.5</v>
      </c>
      <c r="P65" s="93">
        <v>0.5</v>
      </c>
      <c r="Q65" s="90">
        <v>1</v>
      </c>
      <c r="R65" s="90" t="s">
        <v>171</v>
      </c>
      <c r="S65" s="93">
        <v>0.6</v>
      </c>
      <c r="T65" s="93">
        <v>1.3</v>
      </c>
      <c r="U65" s="94">
        <v>4054.3991419801714</v>
      </c>
      <c r="V65" s="94">
        <v>5</v>
      </c>
      <c r="W65" s="94">
        <v>0</v>
      </c>
      <c r="X65" s="95">
        <v>0</v>
      </c>
      <c r="Z65" s="113">
        <v>27.71</v>
      </c>
      <c r="AA65" s="114">
        <v>0.45</v>
      </c>
      <c r="AB65" s="114">
        <v>0.98</v>
      </c>
      <c r="AC65" s="115">
        <v>8</v>
      </c>
      <c r="AD65" s="116">
        <v>1556.89</v>
      </c>
      <c r="AE65" s="116">
        <v>16217.596567920686</v>
      </c>
      <c r="AF65" s="117"/>
      <c r="AG65" s="167">
        <v>2.38</v>
      </c>
      <c r="AI65" s="113">
        <v>8</v>
      </c>
      <c r="AJ65" s="115">
        <v>32.435193135841374</v>
      </c>
      <c r="AK65" s="115">
        <v>9.24</v>
      </c>
      <c r="AL65" s="115">
        <v>37.46</v>
      </c>
      <c r="AM65" s="115">
        <v>8</v>
      </c>
      <c r="AN65" s="115">
        <v>32.435193135841374</v>
      </c>
      <c r="AO65" s="115">
        <v>9.24</v>
      </c>
      <c r="AP65" s="115">
        <v>37.46</v>
      </c>
      <c r="AQ65" s="117"/>
      <c r="AR65" s="167">
        <v>1.82</v>
      </c>
      <c r="AT65" s="113">
        <v>8</v>
      </c>
      <c r="AU65" s="115">
        <v>32.435193135841374</v>
      </c>
      <c r="AV65" s="115">
        <v>8.9754549027349011</v>
      </c>
      <c r="AW65" s="115">
        <v>36.390076656530127</v>
      </c>
      <c r="AX65" s="117"/>
      <c r="AY65" s="167">
        <v>1.8059785894541756</v>
      </c>
      <c r="AZ65" s="10"/>
      <c r="BA65" s="131">
        <v>2.38</v>
      </c>
      <c r="BB65" s="132">
        <v>3.03</v>
      </c>
      <c r="BC65" s="132">
        <v>1.78</v>
      </c>
      <c r="BD65" s="132">
        <v>1.03</v>
      </c>
      <c r="BE65" s="132">
        <v>0.73</v>
      </c>
      <c r="BF65" s="118" t="s">
        <v>172</v>
      </c>
      <c r="BG65" s="133" t="s">
        <v>173</v>
      </c>
      <c r="BH65" s="133" t="s">
        <v>170</v>
      </c>
      <c r="BI65" s="133"/>
      <c r="BJ65" s="133"/>
      <c r="BK65" s="133"/>
      <c r="BL65" s="134" t="s">
        <v>174</v>
      </c>
      <c r="BM65" s="133"/>
      <c r="BN65" s="133"/>
      <c r="BO65" s="133">
        <v>0.6</v>
      </c>
      <c r="BP65" s="133">
        <v>0.7</v>
      </c>
      <c r="BQ65" s="133">
        <v>0.7</v>
      </c>
      <c r="BR65" s="134"/>
    </row>
    <row r="66" spans="2:70" x14ac:dyDescent="0.6">
      <c r="B66" s="75" t="s">
        <v>106</v>
      </c>
      <c r="C66" s="76" t="s">
        <v>46</v>
      </c>
      <c r="D66" s="76" t="s">
        <v>55</v>
      </c>
      <c r="E66" s="76" t="s">
        <v>48</v>
      </c>
      <c r="F66" s="76" t="s">
        <v>49</v>
      </c>
      <c r="G66" s="76" t="s">
        <v>169</v>
      </c>
      <c r="H66" s="76" t="s">
        <v>177</v>
      </c>
      <c r="I66" s="77">
        <f>VLOOKUP(H66,'Listen und Kennwerte'!$B$4:$O$11,5,FALSE)</f>
        <v>24</v>
      </c>
      <c r="J66" s="77">
        <f>VLOOKUP(H66,'Listen und Kennwerte'!$B$4:$O$11,2,FALSE)</f>
        <v>24</v>
      </c>
      <c r="K66" s="78">
        <f>VLOOKUP(H66,'Listen und Kennwerte'!$B$4:$O$11,8,FALSE)</f>
        <v>11500</v>
      </c>
      <c r="L66" s="78">
        <f>VLOOKUP(H66,'Listen und Kennwerte'!$B$4:$O$11,9,FALSE)</f>
        <v>9600</v>
      </c>
      <c r="M66" s="76" t="s">
        <v>136</v>
      </c>
      <c r="N66" s="79">
        <v>4</v>
      </c>
      <c r="O66" s="79">
        <v>0.5</v>
      </c>
      <c r="P66" s="79">
        <v>0.5</v>
      </c>
      <c r="Q66" s="76">
        <v>1</v>
      </c>
      <c r="R66" s="76" t="s">
        <v>171</v>
      </c>
      <c r="S66" s="79">
        <v>0.6</v>
      </c>
      <c r="T66" s="79">
        <v>1.3</v>
      </c>
      <c r="U66" s="80">
        <v>3639.6126531772638</v>
      </c>
      <c r="V66" s="80">
        <v>5</v>
      </c>
      <c r="W66" s="80">
        <v>0</v>
      </c>
      <c r="X66" s="81">
        <v>0</v>
      </c>
      <c r="Z66" s="11">
        <v>27.71</v>
      </c>
      <c r="AA66" s="105">
        <v>0.45</v>
      </c>
      <c r="AB66" s="105">
        <v>0.98</v>
      </c>
      <c r="AC66" s="106">
        <v>8</v>
      </c>
      <c r="AD66" s="107">
        <v>1397.61</v>
      </c>
      <c r="AE66" s="107">
        <v>14558.450612709055</v>
      </c>
      <c r="AF66" s="108"/>
      <c r="AG66" s="168">
        <v>1.94</v>
      </c>
      <c r="AI66" s="11">
        <v>8</v>
      </c>
      <c r="AJ66" s="106">
        <v>29.116901225418111</v>
      </c>
      <c r="AK66" s="106">
        <v>9.1</v>
      </c>
      <c r="AL66" s="106">
        <v>33.11</v>
      </c>
      <c r="AM66" s="106">
        <v>8</v>
      </c>
      <c r="AN66" s="106">
        <v>29.116901225418111</v>
      </c>
      <c r="AO66" s="106">
        <v>9.1</v>
      </c>
      <c r="AP66" s="106">
        <v>33.11</v>
      </c>
      <c r="AQ66" s="108"/>
      <c r="AR66" s="168">
        <v>1.63</v>
      </c>
      <c r="AT66" s="11">
        <v>8</v>
      </c>
      <c r="AU66" s="106">
        <v>29.116901225418111</v>
      </c>
      <c r="AV66" s="106">
        <v>8.8647863795073967</v>
      </c>
      <c r="AW66" s="106">
        <v>32.264388674568572</v>
      </c>
      <c r="AX66" s="108"/>
      <c r="AY66" s="168">
        <v>1.6177265707054924</v>
      </c>
      <c r="AZ66" s="10"/>
      <c r="BA66" s="123">
        <v>1.94</v>
      </c>
      <c r="BB66" s="124">
        <v>2.4700000000000002</v>
      </c>
      <c r="BC66" s="124">
        <v>1.45</v>
      </c>
      <c r="BD66" s="124">
        <v>0.92</v>
      </c>
      <c r="BE66" s="124">
        <v>0.77</v>
      </c>
      <c r="BF66" s="109" t="s">
        <v>172</v>
      </c>
      <c r="BG66" s="125" t="s">
        <v>173</v>
      </c>
      <c r="BH66" s="125" t="s">
        <v>170</v>
      </c>
      <c r="BI66" s="125"/>
      <c r="BJ66" s="125"/>
      <c r="BK66" s="125"/>
      <c r="BL66" s="126" t="s">
        <v>174</v>
      </c>
      <c r="BM66" s="125"/>
      <c r="BN66" s="125"/>
      <c r="BO66" s="125">
        <v>0.6</v>
      </c>
      <c r="BP66" s="125">
        <v>0.65</v>
      </c>
      <c r="BQ66" s="125">
        <v>0.65</v>
      </c>
      <c r="BR66" s="126"/>
    </row>
    <row r="67" spans="2:70" x14ac:dyDescent="0.6">
      <c r="B67" s="89" t="s">
        <v>107</v>
      </c>
      <c r="C67" s="90" t="s">
        <v>46</v>
      </c>
      <c r="D67" s="90" t="s">
        <v>55</v>
      </c>
      <c r="E67" s="90" t="s">
        <v>48</v>
      </c>
      <c r="F67" s="90" t="s">
        <v>49</v>
      </c>
      <c r="G67" s="90" t="s">
        <v>169</v>
      </c>
      <c r="H67" s="90" t="s">
        <v>177</v>
      </c>
      <c r="I67" s="91">
        <f>VLOOKUP(H67,'Listen und Kennwerte'!$B$4:$O$11,5,FALSE)</f>
        <v>24</v>
      </c>
      <c r="J67" s="91">
        <f>VLOOKUP(H67,'Listen und Kennwerte'!$B$4:$O$11,2,FALSE)</f>
        <v>24</v>
      </c>
      <c r="K67" s="92">
        <f>VLOOKUP(H67,'Listen und Kennwerte'!$B$4:$O$11,8,FALSE)</f>
        <v>11500</v>
      </c>
      <c r="L67" s="92">
        <f>VLOOKUP(H67,'Listen und Kennwerte'!$B$4:$O$11,9,FALSE)</f>
        <v>9600</v>
      </c>
      <c r="M67" s="90" t="s">
        <v>136</v>
      </c>
      <c r="N67" s="93">
        <v>4</v>
      </c>
      <c r="O67" s="93">
        <v>0.5</v>
      </c>
      <c r="P67" s="93">
        <v>0.5</v>
      </c>
      <c r="Q67" s="90">
        <v>1</v>
      </c>
      <c r="R67" s="90" t="s">
        <v>171</v>
      </c>
      <c r="S67" s="93">
        <v>0.6</v>
      </c>
      <c r="T67" s="93">
        <v>1.3</v>
      </c>
      <c r="U67" s="94">
        <v>5970.1155148201005</v>
      </c>
      <c r="V67" s="94">
        <v>5</v>
      </c>
      <c r="W67" s="94">
        <v>0</v>
      </c>
      <c r="X67" s="95">
        <v>0</v>
      </c>
      <c r="Z67" s="113">
        <v>27.71</v>
      </c>
      <c r="AA67" s="114">
        <v>0.45</v>
      </c>
      <c r="AB67" s="114">
        <v>0.98</v>
      </c>
      <c r="AC67" s="115">
        <v>8</v>
      </c>
      <c r="AD67" s="116">
        <v>2292.52</v>
      </c>
      <c r="AE67" s="116">
        <v>23880.462059280402</v>
      </c>
      <c r="AF67" s="117"/>
      <c r="AG67" s="167">
        <v>4.99</v>
      </c>
      <c r="AI67" s="113">
        <v>8</v>
      </c>
      <c r="AJ67" s="115">
        <v>47.760924118560808</v>
      </c>
      <c r="AK67" s="115">
        <v>9.9700000000000006</v>
      </c>
      <c r="AL67" s="115">
        <v>59.53</v>
      </c>
      <c r="AM67" s="115">
        <v>8</v>
      </c>
      <c r="AN67" s="115">
        <v>47.760924118560808</v>
      </c>
      <c r="AO67" s="115">
        <v>9.9700000000000006</v>
      </c>
      <c r="AP67" s="115">
        <v>59.53</v>
      </c>
      <c r="AQ67" s="117"/>
      <c r="AR67" s="167">
        <v>2.71</v>
      </c>
      <c r="AT67" s="113">
        <v>8</v>
      </c>
      <c r="AU67" s="115">
        <v>47.760924118560808</v>
      </c>
      <c r="AV67" s="115">
        <v>9.5243329233130964</v>
      </c>
      <c r="AW67" s="115">
        <v>56.861367753783412</v>
      </c>
      <c r="AX67" s="117"/>
      <c r="AY67" s="167">
        <v>2.6877086631581215</v>
      </c>
      <c r="AZ67" s="10"/>
      <c r="BA67" s="131">
        <v>4.99</v>
      </c>
      <c r="BB67" s="132">
        <v>6.42</v>
      </c>
      <c r="BC67" s="132">
        <v>3.71</v>
      </c>
      <c r="BD67" s="132">
        <v>1.82</v>
      </c>
      <c r="BE67" s="132">
        <v>1.08</v>
      </c>
      <c r="BF67" s="118" t="s">
        <v>255</v>
      </c>
      <c r="BG67" s="133" t="s">
        <v>173</v>
      </c>
      <c r="BH67" s="133" t="s">
        <v>170</v>
      </c>
      <c r="BI67" s="133"/>
      <c r="BJ67" s="133"/>
      <c r="BK67" s="133"/>
      <c r="BL67" s="134" t="s">
        <v>174</v>
      </c>
      <c r="BM67" s="133"/>
      <c r="BN67" s="133"/>
      <c r="BO67" s="133">
        <v>0.6</v>
      </c>
      <c r="BP67" s="133">
        <v>0.7</v>
      </c>
      <c r="BQ67" s="133">
        <v>0.8</v>
      </c>
      <c r="BR67" s="134"/>
    </row>
    <row r="68" spans="2:70" x14ac:dyDescent="0.6">
      <c r="B68" s="75" t="s">
        <v>108</v>
      </c>
      <c r="C68" s="76" t="s">
        <v>46</v>
      </c>
      <c r="D68" s="76" t="s">
        <v>55</v>
      </c>
      <c r="E68" s="76" t="s">
        <v>48</v>
      </c>
      <c r="F68" s="76" t="s">
        <v>49</v>
      </c>
      <c r="G68" s="76" t="s">
        <v>169</v>
      </c>
      <c r="H68" s="76" t="s">
        <v>177</v>
      </c>
      <c r="I68" s="77">
        <f>VLOOKUP(H68,'Listen und Kennwerte'!$B$4:$O$11,5,FALSE)</f>
        <v>24</v>
      </c>
      <c r="J68" s="77">
        <f>VLOOKUP(H68,'Listen und Kennwerte'!$B$4:$O$11,2,FALSE)</f>
        <v>24</v>
      </c>
      <c r="K68" s="78">
        <f>VLOOKUP(H68,'Listen und Kennwerte'!$B$4:$O$11,8,FALSE)</f>
        <v>11500</v>
      </c>
      <c r="L68" s="78">
        <f>VLOOKUP(H68,'Listen und Kennwerte'!$B$4:$O$11,9,FALSE)</f>
        <v>9600</v>
      </c>
      <c r="M68" s="76" t="s">
        <v>136</v>
      </c>
      <c r="N68" s="79">
        <v>4</v>
      </c>
      <c r="O68" s="79">
        <v>0.5</v>
      </c>
      <c r="P68" s="79">
        <v>0.5</v>
      </c>
      <c r="Q68" s="76">
        <v>1</v>
      </c>
      <c r="R68" s="76" t="s">
        <v>171</v>
      </c>
      <c r="S68" s="79">
        <v>0.6</v>
      </c>
      <c r="T68" s="79">
        <v>1.3</v>
      </c>
      <c r="U68" s="80">
        <v>6132.5857979564717</v>
      </c>
      <c r="V68" s="80">
        <v>5</v>
      </c>
      <c r="W68" s="80">
        <v>0</v>
      </c>
      <c r="X68" s="81">
        <v>0</v>
      </c>
      <c r="Z68" s="11">
        <v>27.71</v>
      </c>
      <c r="AA68" s="105">
        <v>0.45</v>
      </c>
      <c r="AB68" s="105">
        <v>0.98</v>
      </c>
      <c r="AC68" s="106">
        <v>8</v>
      </c>
      <c r="AD68" s="107">
        <v>2354.91</v>
      </c>
      <c r="AE68" s="107">
        <v>24530.343191825887</v>
      </c>
      <c r="AF68" s="108"/>
      <c r="AG68" s="168">
        <v>5.26</v>
      </c>
      <c r="AI68" s="11">
        <v>8</v>
      </c>
      <c r="AJ68" s="106">
        <v>49.060686383651777</v>
      </c>
      <c r="AK68" s="106">
        <v>10.039999999999999</v>
      </c>
      <c r="AL68" s="106">
        <v>61.56</v>
      </c>
      <c r="AM68" s="106">
        <v>8</v>
      </c>
      <c r="AN68" s="106">
        <v>49.060686383651777</v>
      </c>
      <c r="AO68" s="106">
        <v>10.039999999999999</v>
      </c>
      <c r="AP68" s="106">
        <v>61.56</v>
      </c>
      <c r="AQ68" s="108"/>
      <c r="AR68" s="168">
        <v>2.79</v>
      </c>
      <c r="AT68" s="11">
        <v>8</v>
      </c>
      <c r="AU68" s="106">
        <v>49.060686383651777</v>
      </c>
      <c r="AV68" s="106">
        <v>9.5737840437017567</v>
      </c>
      <c r="AW68" s="106">
        <v>58.71205205910767</v>
      </c>
      <c r="AX68" s="108"/>
      <c r="AY68" s="168">
        <v>2.7634800498152905</v>
      </c>
      <c r="AZ68" s="10"/>
      <c r="BA68" s="123">
        <v>5.26</v>
      </c>
      <c r="BB68" s="124">
        <v>6.76</v>
      </c>
      <c r="BC68" s="124">
        <v>3.91</v>
      </c>
      <c r="BD68" s="124">
        <v>1.91</v>
      </c>
      <c r="BE68" s="124">
        <v>1.1100000000000001</v>
      </c>
      <c r="BF68" s="109" t="s">
        <v>255</v>
      </c>
      <c r="BG68" s="125" t="s">
        <v>173</v>
      </c>
      <c r="BH68" s="125" t="s">
        <v>170</v>
      </c>
      <c r="BI68" s="125"/>
      <c r="BJ68" s="125"/>
      <c r="BK68" s="125"/>
      <c r="BL68" s="126" t="s">
        <v>174</v>
      </c>
      <c r="BM68" s="125"/>
      <c r="BN68" s="125"/>
      <c r="BO68" s="125">
        <v>0.6</v>
      </c>
      <c r="BP68" s="125">
        <v>0.7</v>
      </c>
      <c r="BQ68" s="125">
        <v>0.8</v>
      </c>
      <c r="BR68" s="126"/>
    </row>
    <row r="69" spans="2:70" x14ac:dyDescent="0.6">
      <c r="B69" s="89" t="s">
        <v>109</v>
      </c>
      <c r="C69" s="90" t="s">
        <v>46</v>
      </c>
      <c r="D69" s="90" t="s">
        <v>55</v>
      </c>
      <c r="E69" s="90" t="s">
        <v>48</v>
      </c>
      <c r="F69" s="90" t="s">
        <v>49</v>
      </c>
      <c r="G69" s="90" t="s">
        <v>169</v>
      </c>
      <c r="H69" s="90" t="s">
        <v>177</v>
      </c>
      <c r="I69" s="91">
        <f>VLOOKUP(H69,'Listen und Kennwerte'!$B$4:$O$11,5,FALSE)</f>
        <v>24</v>
      </c>
      <c r="J69" s="91">
        <f>VLOOKUP(H69,'Listen und Kennwerte'!$B$4:$O$11,2,FALSE)</f>
        <v>24</v>
      </c>
      <c r="K69" s="92">
        <f>VLOOKUP(H69,'Listen und Kennwerte'!$B$4:$O$11,8,FALSE)</f>
        <v>11500</v>
      </c>
      <c r="L69" s="92">
        <f>VLOOKUP(H69,'Listen und Kennwerte'!$B$4:$O$11,9,FALSE)</f>
        <v>9600</v>
      </c>
      <c r="M69" s="90" t="s">
        <v>136</v>
      </c>
      <c r="N69" s="93">
        <v>4</v>
      </c>
      <c r="O69" s="93">
        <v>0.5</v>
      </c>
      <c r="P69" s="93">
        <v>0.5</v>
      </c>
      <c r="Q69" s="90">
        <v>1</v>
      </c>
      <c r="R69" s="90" t="s">
        <v>171</v>
      </c>
      <c r="S69" s="93">
        <v>0.6</v>
      </c>
      <c r="T69" s="93">
        <v>1.3</v>
      </c>
      <c r="U69" s="94">
        <v>6305.8151574096692</v>
      </c>
      <c r="V69" s="94">
        <v>5</v>
      </c>
      <c r="W69" s="94">
        <v>0</v>
      </c>
      <c r="X69" s="95">
        <v>0</v>
      </c>
      <c r="Z69" s="113">
        <v>27.71</v>
      </c>
      <c r="AA69" s="114">
        <v>0.45</v>
      </c>
      <c r="AB69" s="114">
        <v>0.98</v>
      </c>
      <c r="AC69" s="115">
        <v>8</v>
      </c>
      <c r="AD69" s="116">
        <v>2421.4299999999998</v>
      </c>
      <c r="AE69" s="116">
        <v>25223.260629638677</v>
      </c>
      <c r="AF69" s="117"/>
      <c r="AG69" s="167">
        <v>5.55</v>
      </c>
      <c r="AI69" s="113">
        <v>8</v>
      </c>
      <c r="AJ69" s="115">
        <v>50.446521259277354</v>
      </c>
      <c r="AK69" s="115">
        <v>10.11</v>
      </c>
      <c r="AL69" s="115">
        <v>63.76</v>
      </c>
      <c r="AM69" s="115">
        <v>8</v>
      </c>
      <c r="AN69" s="115">
        <v>50.446521259277354</v>
      </c>
      <c r="AO69" s="115">
        <v>10.11</v>
      </c>
      <c r="AP69" s="115">
        <v>63.76</v>
      </c>
      <c r="AQ69" s="117"/>
      <c r="AR69" s="167">
        <v>2.87</v>
      </c>
      <c r="AT69" s="113">
        <v>8</v>
      </c>
      <c r="AU69" s="115">
        <v>50.446521259277354</v>
      </c>
      <c r="AV69" s="115">
        <v>9.6272454942129482</v>
      </c>
      <c r="AW69" s="115">
        <v>60.707630561511962</v>
      </c>
      <c r="AX69" s="117"/>
      <c r="AY69" s="167">
        <v>2.8444627554947592</v>
      </c>
      <c r="AZ69" s="10"/>
      <c r="BA69" s="131">
        <v>5.55</v>
      </c>
      <c r="BB69" s="132">
        <v>7.14</v>
      </c>
      <c r="BC69" s="132">
        <v>4.12</v>
      </c>
      <c r="BD69" s="132">
        <v>2.02</v>
      </c>
      <c r="BE69" s="132">
        <v>1.1399999999999999</v>
      </c>
      <c r="BF69" s="118" t="s">
        <v>255</v>
      </c>
      <c r="BG69" s="133" t="s">
        <v>173</v>
      </c>
      <c r="BH69" s="133" t="s">
        <v>170</v>
      </c>
      <c r="BI69" s="133"/>
      <c r="BJ69" s="133"/>
      <c r="BK69" s="133"/>
      <c r="BL69" s="134" t="s">
        <v>174</v>
      </c>
      <c r="BM69" s="133"/>
      <c r="BN69" s="133"/>
      <c r="BO69" s="133">
        <v>0.6</v>
      </c>
      <c r="BP69" s="133">
        <v>0.7</v>
      </c>
      <c r="BQ69" s="133">
        <v>0.8</v>
      </c>
      <c r="BR69" s="134"/>
    </row>
    <row r="70" spans="2:70" x14ac:dyDescent="0.6">
      <c r="B70" s="75" t="s">
        <v>110</v>
      </c>
      <c r="C70" s="76" t="s">
        <v>46</v>
      </c>
      <c r="D70" s="76" t="s">
        <v>55</v>
      </c>
      <c r="E70" s="76" t="s">
        <v>48</v>
      </c>
      <c r="F70" s="76" t="s">
        <v>49</v>
      </c>
      <c r="G70" s="76" t="s">
        <v>169</v>
      </c>
      <c r="H70" s="76" t="s">
        <v>177</v>
      </c>
      <c r="I70" s="77">
        <f>VLOOKUP(H70,'Listen und Kennwerte'!$B$4:$O$11,5,FALSE)</f>
        <v>24</v>
      </c>
      <c r="J70" s="77">
        <f>VLOOKUP(H70,'Listen und Kennwerte'!$B$4:$O$11,2,FALSE)</f>
        <v>24</v>
      </c>
      <c r="K70" s="78">
        <f>VLOOKUP(H70,'Listen und Kennwerte'!$B$4:$O$11,8,FALSE)</f>
        <v>11500</v>
      </c>
      <c r="L70" s="78">
        <f>VLOOKUP(H70,'Listen und Kennwerte'!$B$4:$O$11,9,FALSE)</f>
        <v>9600</v>
      </c>
      <c r="M70" s="76" t="s">
        <v>136</v>
      </c>
      <c r="N70" s="79">
        <v>4</v>
      </c>
      <c r="O70" s="79">
        <v>0.5</v>
      </c>
      <c r="P70" s="79">
        <v>0.5</v>
      </c>
      <c r="Q70" s="76">
        <v>1</v>
      </c>
      <c r="R70" s="76" t="s">
        <v>171</v>
      </c>
      <c r="S70" s="79">
        <v>0.6</v>
      </c>
      <c r="T70" s="79">
        <v>1.3</v>
      </c>
      <c r="U70" s="80">
        <v>3928.1304672775295</v>
      </c>
      <c r="V70" s="80">
        <v>5</v>
      </c>
      <c r="W70" s="80">
        <v>0</v>
      </c>
      <c r="X70" s="81">
        <v>0</v>
      </c>
      <c r="Z70" s="11">
        <v>27.71</v>
      </c>
      <c r="AA70" s="105">
        <v>0.45</v>
      </c>
      <c r="AB70" s="105">
        <v>0.98</v>
      </c>
      <c r="AC70" s="106">
        <v>8</v>
      </c>
      <c r="AD70" s="107">
        <v>1508.4</v>
      </c>
      <c r="AE70" s="107">
        <v>15712.521869110118</v>
      </c>
      <c r="AF70" s="108"/>
      <c r="AG70" s="168">
        <v>2.2400000000000002</v>
      </c>
      <c r="AI70" s="11">
        <v>8</v>
      </c>
      <c r="AJ70" s="106">
        <v>31.425043738220236</v>
      </c>
      <c r="AK70" s="106">
        <v>9.1999999999999993</v>
      </c>
      <c r="AL70" s="106">
        <v>36.119999999999997</v>
      </c>
      <c r="AM70" s="106">
        <v>8</v>
      </c>
      <c r="AN70" s="106">
        <v>31.425043738220236</v>
      </c>
      <c r="AO70" s="106">
        <v>9.1999999999999993</v>
      </c>
      <c r="AP70" s="106">
        <v>36.119999999999997</v>
      </c>
      <c r="AQ70" s="108"/>
      <c r="AR70" s="168">
        <v>1.76</v>
      </c>
      <c r="AT70" s="11">
        <v>8</v>
      </c>
      <c r="AU70" s="106">
        <v>31.425043738220236</v>
      </c>
      <c r="AV70" s="106">
        <v>8.9415638661029817</v>
      </c>
      <c r="AW70" s="106">
        <v>35.123629447546968</v>
      </c>
      <c r="AX70" s="108"/>
      <c r="AY70" s="168">
        <v>1.7485800951672319</v>
      </c>
      <c r="AZ70" s="10"/>
      <c r="BA70" s="123">
        <v>2.2400000000000002</v>
      </c>
      <c r="BB70" s="124">
        <v>2.86</v>
      </c>
      <c r="BC70" s="124">
        <v>1.67</v>
      </c>
      <c r="BD70" s="124">
        <v>1</v>
      </c>
      <c r="BE70" s="124">
        <v>0.83</v>
      </c>
      <c r="BF70" s="109" t="s">
        <v>255</v>
      </c>
      <c r="BG70" s="125" t="s">
        <v>173</v>
      </c>
      <c r="BH70" s="125" t="s">
        <v>170</v>
      </c>
      <c r="BI70" s="125"/>
      <c r="BJ70" s="125"/>
      <c r="BK70" s="125"/>
      <c r="BL70" s="126" t="s">
        <v>174</v>
      </c>
      <c r="BM70" s="125"/>
      <c r="BN70" s="125"/>
      <c r="BO70" s="125">
        <v>0.6</v>
      </c>
      <c r="BP70" s="125">
        <v>0.65</v>
      </c>
      <c r="BQ70" s="125">
        <v>0.7</v>
      </c>
      <c r="BR70" s="126"/>
    </row>
    <row r="71" spans="2:70" x14ac:dyDescent="0.6">
      <c r="B71" s="89" t="s">
        <v>111</v>
      </c>
      <c r="C71" s="90" t="s">
        <v>46</v>
      </c>
      <c r="D71" s="90" t="s">
        <v>55</v>
      </c>
      <c r="E71" s="90" t="s">
        <v>48</v>
      </c>
      <c r="F71" s="90" t="s">
        <v>49</v>
      </c>
      <c r="G71" s="90" t="s">
        <v>169</v>
      </c>
      <c r="H71" s="90" t="s">
        <v>177</v>
      </c>
      <c r="I71" s="91">
        <f>VLOOKUP(H71,'Listen und Kennwerte'!$B$4:$O$11,5,FALSE)</f>
        <v>24</v>
      </c>
      <c r="J71" s="91">
        <f>VLOOKUP(H71,'Listen und Kennwerte'!$B$4:$O$11,2,FALSE)</f>
        <v>24</v>
      </c>
      <c r="K71" s="92">
        <f>VLOOKUP(H71,'Listen und Kennwerte'!$B$4:$O$11,8,FALSE)</f>
        <v>11500</v>
      </c>
      <c r="L71" s="92">
        <f>VLOOKUP(H71,'Listen und Kennwerte'!$B$4:$O$11,9,FALSE)</f>
        <v>9600</v>
      </c>
      <c r="M71" s="90" t="s">
        <v>136</v>
      </c>
      <c r="N71" s="93">
        <v>4</v>
      </c>
      <c r="O71" s="93">
        <v>0.5</v>
      </c>
      <c r="P71" s="93">
        <v>0.5</v>
      </c>
      <c r="Q71" s="90">
        <v>1</v>
      </c>
      <c r="R71" s="90" t="s">
        <v>171</v>
      </c>
      <c r="S71" s="93">
        <v>0.6</v>
      </c>
      <c r="T71" s="93">
        <v>1.3</v>
      </c>
      <c r="U71" s="94">
        <v>4559.8518506898899</v>
      </c>
      <c r="V71" s="94">
        <v>5</v>
      </c>
      <c r="W71" s="94">
        <v>0</v>
      </c>
      <c r="X71" s="95">
        <v>0</v>
      </c>
      <c r="Z71" s="113">
        <v>27.71</v>
      </c>
      <c r="AA71" s="114">
        <v>0.45</v>
      </c>
      <c r="AB71" s="114">
        <v>0.98</v>
      </c>
      <c r="AC71" s="115">
        <v>8</v>
      </c>
      <c r="AD71" s="116">
        <v>1750.98</v>
      </c>
      <c r="AE71" s="116">
        <v>18239.40740275956</v>
      </c>
      <c r="AF71" s="117"/>
      <c r="AG71" s="167">
        <v>2.98</v>
      </c>
      <c r="AI71" s="113">
        <v>8</v>
      </c>
      <c r="AJ71" s="115">
        <v>36.478814805519121</v>
      </c>
      <c r="AK71" s="115">
        <v>9.42</v>
      </c>
      <c r="AL71" s="115">
        <v>42.97</v>
      </c>
      <c r="AM71" s="115">
        <v>8</v>
      </c>
      <c r="AN71" s="115">
        <v>36.478814805519121</v>
      </c>
      <c r="AO71" s="115">
        <v>9.42</v>
      </c>
      <c r="AP71" s="115">
        <v>42.97</v>
      </c>
      <c r="AQ71" s="117"/>
      <c r="AR71" s="167">
        <v>2.0499999999999998</v>
      </c>
      <c r="AT71" s="113">
        <v>8</v>
      </c>
      <c r="AU71" s="115">
        <v>36.478814805519121</v>
      </c>
      <c r="AV71" s="115">
        <v>9.1138564594327498</v>
      </c>
      <c r="AW71" s="115">
        <v>41.557835243466435</v>
      </c>
      <c r="AX71" s="117"/>
      <c r="AY71" s="167">
        <v>2.0365952796044464</v>
      </c>
      <c r="AZ71" s="10"/>
      <c r="BA71" s="131">
        <v>2.98</v>
      </c>
      <c r="BB71" s="132">
        <v>3.81</v>
      </c>
      <c r="BC71" s="132">
        <v>2.2200000000000002</v>
      </c>
      <c r="BD71" s="132">
        <v>1.1599999999999999</v>
      </c>
      <c r="BE71" s="132">
        <v>0.82</v>
      </c>
      <c r="BF71" s="118" t="s">
        <v>172</v>
      </c>
      <c r="BG71" s="133" t="s">
        <v>173</v>
      </c>
      <c r="BH71" s="133" t="s">
        <v>170</v>
      </c>
      <c r="BI71" s="133"/>
      <c r="BJ71" s="133"/>
      <c r="BK71" s="133"/>
      <c r="BL71" s="134" t="s">
        <v>174</v>
      </c>
      <c r="BM71" s="133"/>
      <c r="BN71" s="133"/>
      <c r="BO71" s="133">
        <v>0.6</v>
      </c>
      <c r="BP71" s="133">
        <v>0.7</v>
      </c>
      <c r="BQ71" s="133">
        <v>0.7</v>
      </c>
      <c r="BR71" s="134"/>
    </row>
    <row r="72" spans="2:70" x14ac:dyDescent="0.6">
      <c r="B72" s="82" t="s">
        <v>112</v>
      </c>
      <c r="C72" s="83" t="s">
        <v>46</v>
      </c>
      <c r="D72" s="83" t="s">
        <v>47</v>
      </c>
      <c r="E72" s="83" t="s">
        <v>48</v>
      </c>
      <c r="F72" s="83" t="s">
        <v>49</v>
      </c>
      <c r="G72" s="83" t="s">
        <v>169</v>
      </c>
      <c r="H72" s="83" t="s">
        <v>177</v>
      </c>
      <c r="I72" s="84">
        <f>VLOOKUP(H72,'Listen und Kennwerte'!$B$4:$O$11,5,FALSE)</f>
        <v>24</v>
      </c>
      <c r="J72" s="84">
        <f>VLOOKUP(H72,'Listen und Kennwerte'!$B$4:$O$11,2,FALSE)</f>
        <v>24</v>
      </c>
      <c r="K72" s="85">
        <f>VLOOKUP(H72,'Listen und Kennwerte'!$B$4:$O$11,8,FALSE)</f>
        <v>11500</v>
      </c>
      <c r="L72" s="85">
        <f>VLOOKUP(H72,'Listen und Kennwerte'!$B$4:$O$11,9,FALSE)</f>
        <v>9600</v>
      </c>
      <c r="M72" s="83" t="s">
        <v>136</v>
      </c>
      <c r="N72" s="86">
        <v>11.9</v>
      </c>
      <c r="O72" s="86">
        <v>0.8</v>
      </c>
      <c r="P72" s="86">
        <v>0.8</v>
      </c>
      <c r="Q72" s="83">
        <v>1</v>
      </c>
      <c r="R72" s="83" t="s">
        <v>171</v>
      </c>
      <c r="S72" s="86">
        <v>0.6</v>
      </c>
      <c r="T72" s="86">
        <v>1.3</v>
      </c>
      <c r="U72" s="87">
        <v>6869.2487185568007</v>
      </c>
      <c r="V72" s="87">
        <v>5</v>
      </c>
      <c r="W72" s="87">
        <v>0</v>
      </c>
      <c r="X72" s="88">
        <v>0</v>
      </c>
      <c r="Z72" s="13">
        <v>51.53</v>
      </c>
      <c r="AA72" s="110">
        <v>0.83</v>
      </c>
      <c r="AB72" s="110">
        <v>0.88</v>
      </c>
      <c r="AC72" s="14">
        <v>23.8</v>
      </c>
      <c r="AD72" s="111">
        <v>1915.88</v>
      </c>
      <c r="AE72" s="111">
        <v>10733.201122744998</v>
      </c>
      <c r="AF72" s="15"/>
      <c r="AG72" s="169">
        <v>1.23</v>
      </c>
      <c r="AI72" s="13">
        <v>23.8</v>
      </c>
      <c r="AJ72" s="14">
        <v>163.48811950165188</v>
      </c>
      <c r="AK72" s="14">
        <v>34.35</v>
      </c>
      <c r="AL72" s="14">
        <v>235.97</v>
      </c>
      <c r="AM72" s="14">
        <v>23.8</v>
      </c>
      <c r="AN72" s="14">
        <v>163.48811950165188</v>
      </c>
      <c r="AO72" s="14">
        <v>34.35</v>
      </c>
      <c r="AP72" s="14">
        <v>235.97</v>
      </c>
      <c r="AQ72" s="15"/>
      <c r="AR72" s="169">
        <v>1.6</v>
      </c>
      <c r="AT72" s="13">
        <v>23.8</v>
      </c>
      <c r="AU72" s="14">
        <v>163.48811950165188</v>
      </c>
      <c r="AV72" s="14">
        <v>31.796838584142723</v>
      </c>
      <c r="AW72" s="14">
        <v>218.42039269827984</v>
      </c>
      <c r="AX72" s="15"/>
      <c r="AY72" s="169">
        <v>1.5610541750690281</v>
      </c>
      <c r="AZ72" s="10"/>
      <c r="BA72" s="127">
        <v>1.6</v>
      </c>
      <c r="BB72" s="128">
        <v>1.72</v>
      </c>
      <c r="BC72" s="128"/>
      <c r="BD72" s="128"/>
      <c r="BE72" s="128"/>
      <c r="BF72" s="112"/>
      <c r="BG72" s="129" t="s">
        <v>173</v>
      </c>
      <c r="BH72" s="129" t="s">
        <v>170</v>
      </c>
      <c r="BI72" s="129"/>
      <c r="BJ72" s="129"/>
      <c r="BK72" s="129"/>
      <c r="BL72" s="130"/>
      <c r="BM72" s="129"/>
      <c r="BN72" s="129"/>
      <c r="BO72" s="129"/>
      <c r="BP72" s="129"/>
      <c r="BQ72" s="129"/>
      <c r="BR72" s="130"/>
    </row>
    <row r="73" spans="2:70" x14ac:dyDescent="0.6">
      <c r="B73" s="18"/>
      <c r="C73" s="18"/>
      <c r="D73" s="18"/>
      <c r="E73" s="18"/>
      <c r="F73" s="18"/>
      <c r="G73" s="18"/>
      <c r="H73" s="18"/>
      <c r="I73" s="27"/>
      <c r="J73" s="27"/>
      <c r="K73" s="28"/>
      <c r="L73" s="28"/>
      <c r="M73" s="18"/>
      <c r="N73" s="29"/>
      <c r="O73" s="29"/>
      <c r="P73" s="29"/>
      <c r="Q73" s="18"/>
      <c r="R73" s="18"/>
      <c r="S73" s="29"/>
      <c r="T73" s="29"/>
      <c r="U73" s="28"/>
      <c r="V73" s="18"/>
      <c r="W73" s="18"/>
      <c r="X73" s="18"/>
      <c r="Z73" s="10"/>
      <c r="AA73" s="30"/>
      <c r="AB73" s="30"/>
      <c r="AC73" s="10"/>
      <c r="AD73" s="31"/>
      <c r="AE73" s="31"/>
      <c r="AG73" s="32"/>
      <c r="AI73" s="10"/>
      <c r="AJ73" s="10"/>
      <c r="AK73" s="10"/>
      <c r="AL73" s="10"/>
      <c r="AM73" s="10"/>
      <c r="AN73" s="10"/>
      <c r="AO73" s="10"/>
      <c r="AP73" s="10"/>
      <c r="AR73" s="32"/>
      <c r="AT73" s="10"/>
      <c r="AU73" s="10"/>
      <c r="AV73" s="10"/>
      <c r="AW73" s="10"/>
      <c r="AY73" s="32"/>
    </row>
    <row r="74" spans="2:70" x14ac:dyDescent="0.6">
      <c r="B74" s="18"/>
      <c r="C74" s="18"/>
      <c r="D74" s="18"/>
      <c r="E74" s="18"/>
      <c r="F74" s="18"/>
      <c r="G74" s="18"/>
      <c r="H74" s="18"/>
      <c r="I74" s="27"/>
      <c r="J74" s="27"/>
      <c r="K74" s="28"/>
      <c r="L74" s="28"/>
      <c r="M74" s="18"/>
      <c r="N74" s="29"/>
      <c r="O74" s="29"/>
      <c r="P74" s="29"/>
      <c r="Q74" s="18"/>
      <c r="R74" s="18"/>
      <c r="S74" s="29"/>
      <c r="T74" s="29"/>
      <c r="U74" s="28"/>
      <c r="V74" s="18"/>
      <c r="W74" s="18"/>
      <c r="X74" s="18"/>
      <c r="Z74" s="10"/>
      <c r="AA74" s="30"/>
      <c r="AB74" s="30"/>
      <c r="AC74" s="10"/>
      <c r="AD74" s="31"/>
      <c r="AE74" s="31"/>
      <c r="AG74" s="32"/>
      <c r="AI74" s="10"/>
      <c r="AJ74" s="10"/>
      <c r="AK74" s="10"/>
      <c r="AL74" s="10"/>
      <c r="AM74" s="10"/>
      <c r="AN74" s="10"/>
      <c r="AO74" s="10"/>
      <c r="AP74" s="10"/>
      <c r="AR74" s="32"/>
      <c r="AT74" s="10"/>
      <c r="AU74" s="10"/>
      <c r="AV74" s="10"/>
      <c r="AW74" s="10"/>
      <c r="AY74" s="32"/>
    </row>
    <row r="75" spans="2:70" x14ac:dyDescent="0.6">
      <c r="B75" s="18"/>
      <c r="C75" s="18"/>
      <c r="D75" s="18"/>
      <c r="E75" s="18"/>
      <c r="F75" s="18"/>
      <c r="G75" s="18"/>
      <c r="H75" s="18"/>
      <c r="I75" s="27"/>
      <c r="J75" s="27"/>
      <c r="K75" s="28"/>
      <c r="L75" s="28"/>
      <c r="M75" s="18"/>
      <c r="N75" s="29"/>
      <c r="O75" s="29"/>
      <c r="P75" s="29"/>
      <c r="Q75" s="18"/>
      <c r="R75" s="18"/>
      <c r="S75" s="29"/>
      <c r="T75" s="29"/>
      <c r="U75" s="28"/>
      <c r="V75" s="18"/>
      <c r="W75" s="18"/>
      <c r="X75" s="18"/>
      <c r="Z75" s="10"/>
      <c r="AA75" s="30"/>
      <c r="AB75" s="30"/>
      <c r="AC75" s="10"/>
      <c r="AD75" s="31"/>
      <c r="AE75" s="31"/>
      <c r="AG75" s="32"/>
      <c r="AI75" s="10"/>
      <c r="AJ75" s="10"/>
      <c r="AK75" s="10"/>
      <c r="AL75" s="10"/>
      <c r="AM75" s="10"/>
      <c r="AN75" s="10"/>
      <c r="AO75" s="10"/>
      <c r="AP75" s="10"/>
      <c r="AR75" s="32"/>
      <c r="AT75" s="10"/>
      <c r="AU75" s="10"/>
      <c r="AV75" s="10"/>
      <c r="AW75" s="10"/>
      <c r="AY75" s="32"/>
    </row>
    <row r="76" spans="2:70" x14ac:dyDescent="0.6">
      <c r="B76" s="18"/>
      <c r="C76" s="18"/>
      <c r="D76" s="18"/>
      <c r="E76" s="18"/>
      <c r="F76" s="18"/>
      <c r="G76" s="18"/>
      <c r="H76" s="18"/>
      <c r="I76" s="27"/>
      <c r="J76" s="27"/>
      <c r="K76" s="28"/>
      <c r="L76" s="28"/>
      <c r="M76" s="18"/>
      <c r="N76" s="29"/>
      <c r="O76" s="29"/>
      <c r="P76" s="29"/>
      <c r="Q76" s="18"/>
      <c r="R76" s="18"/>
      <c r="S76" s="29"/>
      <c r="T76" s="29"/>
      <c r="U76" s="28"/>
      <c r="V76" s="18"/>
      <c r="W76" s="18"/>
      <c r="X76" s="18"/>
      <c r="Z76" s="10"/>
      <c r="AA76" s="30"/>
      <c r="AB76" s="30"/>
      <c r="AC76" s="10"/>
      <c r="AD76" s="31"/>
      <c r="AE76" s="31"/>
      <c r="AG76" s="32"/>
      <c r="AI76" s="10"/>
      <c r="AJ76" s="10"/>
      <c r="AK76" s="10"/>
      <c r="AL76" s="10"/>
      <c r="AM76" s="10"/>
      <c r="AN76" s="10"/>
      <c r="AO76" s="10"/>
      <c r="AP76" s="10"/>
      <c r="AR76" s="32"/>
      <c r="AT76" s="10"/>
      <c r="AU76" s="10"/>
      <c r="AV76" s="10"/>
      <c r="AW76" s="10"/>
      <c r="AY76" s="32"/>
    </row>
    <row r="77" spans="2:70" x14ac:dyDescent="0.6">
      <c r="B77" s="18"/>
      <c r="C77" s="18"/>
      <c r="D77" s="18"/>
      <c r="E77" s="18"/>
      <c r="F77" s="18"/>
      <c r="G77" s="18"/>
      <c r="H77" s="18"/>
      <c r="I77" s="27"/>
      <c r="J77" s="27"/>
      <c r="K77" s="28"/>
      <c r="L77" s="28"/>
      <c r="M77" s="18"/>
      <c r="N77" s="29"/>
      <c r="O77" s="29"/>
      <c r="P77" s="29"/>
      <c r="Q77" s="18"/>
      <c r="R77" s="18"/>
      <c r="S77" s="29"/>
      <c r="T77" s="29"/>
      <c r="U77" s="28"/>
      <c r="V77" s="18"/>
      <c r="W77" s="18"/>
      <c r="X77" s="18"/>
      <c r="Z77" s="10"/>
      <c r="AA77" s="30"/>
      <c r="AB77" s="30"/>
      <c r="AC77" s="10"/>
      <c r="AD77" s="31"/>
      <c r="AE77" s="31"/>
      <c r="AG77" s="32"/>
      <c r="AI77" s="10"/>
      <c r="AJ77" s="10"/>
      <c r="AK77" s="10"/>
      <c r="AL77" s="10"/>
      <c r="AM77" s="10"/>
      <c r="AN77" s="10"/>
      <c r="AO77" s="10"/>
      <c r="AP77" s="10"/>
      <c r="AR77" s="32"/>
      <c r="AT77" s="10"/>
      <c r="AU77" s="10"/>
      <c r="AV77" s="10"/>
      <c r="AW77" s="10"/>
      <c r="AY77" s="32"/>
    </row>
    <row r="78" spans="2:70" x14ac:dyDescent="0.6">
      <c r="B78" s="18"/>
      <c r="C78" s="18"/>
      <c r="D78" s="18"/>
      <c r="E78" s="18"/>
      <c r="F78" s="18"/>
      <c r="G78" s="18"/>
      <c r="H78" s="18"/>
      <c r="I78" s="27"/>
      <c r="J78" s="27"/>
      <c r="K78" s="28"/>
      <c r="L78" s="28"/>
      <c r="M78" s="18"/>
      <c r="N78" s="29"/>
      <c r="O78" s="29"/>
      <c r="P78" s="29"/>
      <c r="Q78" s="18"/>
      <c r="R78" s="18"/>
      <c r="S78" s="29"/>
      <c r="T78" s="29"/>
      <c r="U78" s="28"/>
      <c r="V78" s="18"/>
      <c r="W78" s="18"/>
      <c r="X78" s="18"/>
      <c r="Z78" s="10"/>
      <c r="AA78" s="30"/>
      <c r="AB78" s="30"/>
      <c r="AC78" s="10"/>
      <c r="AD78" s="31"/>
      <c r="AE78" s="31"/>
      <c r="AG78" s="32"/>
      <c r="AI78" s="10"/>
      <c r="AJ78" s="10"/>
      <c r="AK78" s="10"/>
      <c r="AL78" s="10"/>
      <c r="AM78" s="10"/>
      <c r="AN78" s="10"/>
      <c r="AO78" s="10"/>
      <c r="AP78" s="10"/>
      <c r="AR78" s="32"/>
      <c r="AT78" s="10"/>
      <c r="AU78" s="10"/>
      <c r="AV78" s="10"/>
      <c r="AW78" s="10"/>
      <c r="AY78" s="32"/>
    </row>
    <row r="79" spans="2:70" x14ac:dyDescent="0.6">
      <c r="B79" s="18"/>
      <c r="C79" s="18"/>
      <c r="D79" s="18"/>
      <c r="E79" s="18"/>
      <c r="F79" s="18"/>
      <c r="G79" s="18"/>
      <c r="H79" s="18"/>
      <c r="I79" s="27"/>
      <c r="J79" s="27"/>
      <c r="K79" s="28"/>
      <c r="L79" s="28"/>
      <c r="M79" s="18"/>
      <c r="N79" s="29"/>
      <c r="O79" s="29"/>
      <c r="P79" s="29"/>
      <c r="Q79" s="18"/>
      <c r="R79" s="18"/>
      <c r="S79" s="29"/>
      <c r="T79" s="29"/>
      <c r="U79" s="28"/>
      <c r="V79" s="18"/>
      <c r="W79" s="18"/>
      <c r="X79" s="18"/>
      <c r="Z79" s="10"/>
      <c r="AA79" s="30"/>
      <c r="AB79" s="30"/>
      <c r="AC79" s="10"/>
      <c r="AD79" s="31"/>
      <c r="AE79" s="31"/>
      <c r="AG79" s="32"/>
      <c r="AI79" s="10"/>
      <c r="AJ79" s="10"/>
      <c r="AK79" s="10"/>
      <c r="AL79" s="10"/>
      <c r="AM79" s="10"/>
      <c r="AN79" s="10"/>
      <c r="AO79" s="10"/>
      <c r="AP79" s="10"/>
      <c r="AR79" s="32"/>
      <c r="AT79" s="10"/>
      <c r="AU79" s="10"/>
      <c r="AV79" s="10"/>
      <c r="AW79" s="10"/>
      <c r="AY79" s="32"/>
    </row>
    <row r="80" spans="2:70" x14ac:dyDescent="0.6">
      <c r="B80" s="18"/>
      <c r="C80" s="18"/>
      <c r="D80" s="18"/>
      <c r="E80" s="18"/>
      <c r="F80" s="18"/>
      <c r="G80" s="18"/>
      <c r="H80" s="18"/>
      <c r="I80" s="27"/>
      <c r="J80" s="27"/>
      <c r="K80" s="28"/>
      <c r="L80" s="28"/>
      <c r="M80" s="18"/>
      <c r="N80" s="29"/>
      <c r="O80" s="29"/>
      <c r="P80" s="29"/>
      <c r="Q80" s="18"/>
      <c r="R80" s="18"/>
      <c r="S80" s="29"/>
      <c r="T80" s="29"/>
      <c r="U80" s="28"/>
      <c r="V80" s="18"/>
      <c r="W80" s="18"/>
      <c r="X80" s="18"/>
      <c r="Z80" s="10"/>
      <c r="AA80" s="30"/>
      <c r="AB80" s="30"/>
      <c r="AC80" s="10"/>
      <c r="AD80" s="31"/>
      <c r="AE80" s="31"/>
      <c r="AG80" s="32"/>
      <c r="AI80" s="10"/>
      <c r="AJ80" s="10"/>
      <c r="AK80" s="10"/>
      <c r="AL80" s="10"/>
      <c r="AM80" s="10"/>
      <c r="AN80" s="10"/>
      <c r="AO80" s="10"/>
      <c r="AP80" s="10"/>
      <c r="AR80" s="32"/>
      <c r="AT80" s="10"/>
      <c r="AU80" s="10"/>
      <c r="AV80" s="10"/>
      <c r="AW80" s="10"/>
      <c r="AY80" s="32"/>
    </row>
    <row r="81" spans="2:51" x14ac:dyDescent="0.6">
      <c r="B81" s="18"/>
      <c r="C81" s="18"/>
      <c r="D81" s="18"/>
      <c r="E81" s="18"/>
      <c r="F81" s="18"/>
      <c r="G81" s="18"/>
      <c r="H81" s="18"/>
      <c r="I81" s="27"/>
      <c r="J81" s="27"/>
      <c r="K81" s="28"/>
      <c r="L81" s="28"/>
      <c r="M81" s="18"/>
      <c r="N81" s="29"/>
      <c r="O81" s="29"/>
      <c r="P81" s="29"/>
      <c r="Q81" s="18"/>
      <c r="R81" s="18"/>
      <c r="S81" s="29"/>
      <c r="T81" s="29"/>
      <c r="U81" s="28"/>
      <c r="V81" s="18"/>
      <c r="W81" s="18"/>
      <c r="X81" s="18"/>
      <c r="Z81" s="10"/>
      <c r="AA81" s="30"/>
      <c r="AB81" s="30"/>
      <c r="AC81" s="10"/>
      <c r="AD81" s="31"/>
      <c r="AE81" s="31"/>
      <c r="AG81" s="32"/>
      <c r="AI81" s="10"/>
      <c r="AJ81" s="10"/>
      <c r="AK81" s="10"/>
      <c r="AL81" s="10"/>
      <c r="AM81" s="10"/>
      <c r="AN81" s="10"/>
      <c r="AO81" s="10"/>
      <c r="AP81" s="10"/>
      <c r="AR81" s="32"/>
      <c r="AT81" s="10"/>
      <c r="AU81" s="10"/>
      <c r="AV81" s="10"/>
      <c r="AW81" s="10"/>
      <c r="AY81" s="32"/>
    </row>
    <row r="82" spans="2:51" x14ac:dyDescent="0.6">
      <c r="B82" s="18"/>
      <c r="C82" s="18"/>
      <c r="D82" s="18"/>
      <c r="E82" s="18"/>
      <c r="F82" s="18"/>
      <c r="G82" s="18"/>
      <c r="H82" s="18"/>
      <c r="I82" s="27"/>
      <c r="J82" s="27"/>
      <c r="K82" s="28"/>
      <c r="L82" s="28"/>
      <c r="M82" s="18"/>
      <c r="N82" s="29"/>
      <c r="O82" s="29"/>
      <c r="P82" s="29"/>
      <c r="Q82" s="18"/>
      <c r="R82" s="18"/>
      <c r="S82" s="18"/>
      <c r="T82" s="18"/>
      <c r="U82" s="28"/>
      <c r="V82" s="18"/>
      <c r="W82" s="18"/>
      <c r="X82" s="18"/>
      <c r="Z82" s="10"/>
      <c r="AA82" s="30"/>
      <c r="AB82" s="30"/>
      <c r="AC82" s="10"/>
      <c r="AD82" s="31"/>
      <c r="AE82" s="31"/>
      <c r="AG82" s="32"/>
      <c r="AI82" s="10"/>
      <c r="AJ82" s="10"/>
      <c r="AK82" s="10"/>
      <c r="AL82" s="10"/>
      <c r="AM82" s="10"/>
      <c r="AN82" s="10"/>
      <c r="AO82" s="10"/>
      <c r="AP82" s="10"/>
      <c r="AR82" s="32"/>
      <c r="AT82" s="10"/>
      <c r="AU82" s="10"/>
      <c r="AV82" s="10"/>
      <c r="AW82" s="10"/>
      <c r="AY82" s="32"/>
    </row>
    <row r="83" spans="2:51" x14ac:dyDescent="0.6">
      <c r="B83" s="18"/>
      <c r="C83" s="18"/>
      <c r="D83" s="18"/>
      <c r="E83" s="18"/>
      <c r="F83" s="18"/>
      <c r="G83" s="18"/>
      <c r="H83" s="18"/>
      <c r="I83" s="27"/>
      <c r="J83" s="27"/>
      <c r="K83" s="28"/>
      <c r="L83" s="28"/>
      <c r="M83" s="18"/>
      <c r="N83" s="29"/>
      <c r="O83" s="29"/>
      <c r="P83" s="29"/>
      <c r="Q83" s="18"/>
      <c r="R83" s="18"/>
      <c r="S83" s="18"/>
      <c r="T83" s="18"/>
      <c r="U83" s="28"/>
      <c r="V83" s="18"/>
      <c r="W83" s="18"/>
      <c r="X83" s="18"/>
      <c r="Z83" s="10"/>
      <c r="AA83" s="30"/>
      <c r="AB83" s="30"/>
      <c r="AC83" s="10"/>
      <c r="AD83" s="31"/>
      <c r="AE83" s="31"/>
      <c r="AG83" s="32"/>
      <c r="AI83" s="10"/>
      <c r="AJ83" s="10"/>
      <c r="AK83" s="10"/>
      <c r="AL83" s="10"/>
      <c r="AM83" s="10"/>
      <c r="AN83" s="10"/>
      <c r="AO83" s="10"/>
      <c r="AP83" s="10"/>
      <c r="AR83" s="32"/>
      <c r="AT83" s="10"/>
      <c r="AU83" s="10"/>
      <c r="AV83" s="10"/>
      <c r="AW83" s="10"/>
      <c r="AY83" s="32"/>
    </row>
    <row r="84" spans="2:51" x14ac:dyDescent="0.6">
      <c r="B84" s="18"/>
      <c r="C84" s="18"/>
      <c r="D84" s="18"/>
      <c r="E84" s="18"/>
      <c r="F84" s="18"/>
      <c r="G84" s="18"/>
      <c r="H84" s="18"/>
      <c r="I84" s="27"/>
      <c r="J84" s="27"/>
      <c r="K84" s="28"/>
      <c r="L84" s="28"/>
      <c r="M84" s="18"/>
      <c r="N84" s="29"/>
      <c r="O84" s="29"/>
      <c r="P84" s="29"/>
      <c r="Q84" s="18"/>
      <c r="R84" s="18"/>
      <c r="S84" s="18"/>
      <c r="T84" s="18"/>
      <c r="U84" s="28"/>
      <c r="V84" s="18"/>
      <c r="W84" s="18"/>
      <c r="X84" s="18"/>
      <c r="Z84" s="10"/>
      <c r="AA84" s="30"/>
      <c r="AB84" s="30"/>
      <c r="AC84" s="10"/>
      <c r="AD84" s="31"/>
      <c r="AE84" s="31"/>
      <c r="AG84" s="32"/>
      <c r="AI84" s="10"/>
      <c r="AJ84" s="10"/>
      <c r="AK84" s="10"/>
      <c r="AL84" s="10"/>
      <c r="AM84" s="10"/>
      <c r="AN84" s="10"/>
      <c r="AO84" s="10"/>
      <c r="AP84" s="10"/>
      <c r="AR84" s="32"/>
      <c r="AT84" s="10"/>
      <c r="AU84" s="10"/>
      <c r="AV84" s="10"/>
      <c r="AW84" s="10"/>
      <c r="AY84" s="32"/>
    </row>
    <row r="85" spans="2:51" x14ac:dyDescent="0.6">
      <c r="B85" s="18"/>
      <c r="C85" s="18"/>
      <c r="D85" s="18"/>
      <c r="E85" s="18"/>
      <c r="F85" s="18"/>
      <c r="G85" s="18"/>
      <c r="H85" s="18"/>
      <c r="I85" s="27"/>
      <c r="J85" s="27"/>
      <c r="K85" s="28"/>
      <c r="L85" s="28"/>
      <c r="M85" s="18"/>
      <c r="N85" s="29"/>
      <c r="O85" s="29"/>
      <c r="P85" s="29"/>
      <c r="Q85" s="18"/>
      <c r="R85" s="18"/>
      <c r="S85" s="18"/>
      <c r="T85" s="18"/>
      <c r="U85" s="28"/>
      <c r="V85" s="18"/>
      <c r="W85" s="18"/>
      <c r="X85" s="18"/>
      <c r="Z85" s="10"/>
      <c r="AA85" s="30"/>
      <c r="AB85" s="30"/>
      <c r="AC85" s="10"/>
      <c r="AD85" s="31"/>
      <c r="AE85" s="31"/>
      <c r="AG85" s="32"/>
      <c r="AI85" s="10"/>
      <c r="AJ85" s="10"/>
      <c r="AK85" s="10"/>
      <c r="AL85" s="10"/>
      <c r="AM85" s="10"/>
      <c r="AN85" s="10"/>
      <c r="AO85" s="10"/>
      <c r="AP85" s="10"/>
      <c r="AR85" s="32"/>
      <c r="AT85" s="10"/>
      <c r="AU85" s="10"/>
      <c r="AV85" s="10"/>
      <c r="AW85" s="10"/>
      <c r="AY85" s="32"/>
    </row>
    <row r="86" spans="2:51" x14ac:dyDescent="0.6">
      <c r="B86" s="18"/>
      <c r="C86" s="18"/>
      <c r="D86" s="18"/>
      <c r="E86" s="18"/>
      <c r="F86" s="18"/>
      <c r="G86" s="18"/>
      <c r="H86" s="18"/>
      <c r="I86" s="27"/>
      <c r="J86" s="27"/>
      <c r="K86" s="28"/>
      <c r="L86" s="28"/>
      <c r="M86" s="18"/>
      <c r="N86" s="29"/>
      <c r="O86" s="29"/>
      <c r="P86" s="29"/>
      <c r="Q86" s="18"/>
      <c r="R86" s="18"/>
      <c r="S86" s="18"/>
      <c r="T86" s="18"/>
      <c r="U86" s="28"/>
      <c r="V86" s="18"/>
      <c r="W86" s="18"/>
      <c r="X86" s="18"/>
      <c r="Z86" s="10"/>
      <c r="AA86" s="30"/>
      <c r="AB86" s="30"/>
      <c r="AC86" s="10"/>
      <c r="AD86" s="31"/>
      <c r="AE86" s="31"/>
      <c r="AG86" s="32"/>
      <c r="AI86" s="10"/>
      <c r="AJ86" s="10"/>
      <c r="AK86" s="10"/>
      <c r="AL86" s="10"/>
      <c r="AM86" s="10"/>
      <c r="AN86" s="10"/>
      <c r="AO86" s="10"/>
      <c r="AP86" s="10"/>
      <c r="AR86" s="32"/>
      <c r="AT86" s="10"/>
      <c r="AU86" s="10"/>
      <c r="AV86" s="10"/>
      <c r="AW86" s="10"/>
      <c r="AY86" s="32"/>
    </row>
    <row r="87" spans="2:51" x14ac:dyDescent="0.6">
      <c r="B87" s="18"/>
      <c r="C87" s="18"/>
      <c r="D87" s="18"/>
      <c r="E87" s="18"/>
      <c r="F87" s="18"/>
      <c r="G87" s="18"/>
      <c r="H87" s="18"/>
      <c r="I87" s="27"/>
      <c r="J87" s="27"/>
      <c r="K87" s="28"/>
      <c r="L87" s="28"/>
      <c r="M87" s="18"/>
      <c r="N87" s="29"/>
      <c r="O87" s="29"/>
      <c r="P87" s="29"/>
      <c r="Q87" s="18"/>
      <c r="R87" s="18"/>
      <c r="S87" s="18"/>
      <c r="T87" s="18"/>
      <c r="U87" s="28"/>
      <c r="V87" s="18"/>
      <c r="W87" s="18"/>
      <c r="X87" s="18"/>
      <c r="Z87" s="10"/>
      <c r="AA87" s="30"/>
      <c r="AB87" s="30"/>
      <c r="AC87" s="10"/>
      <c r="AD87" s="31"/>
      <c r="AE87" s="31"/>
      <c r="AG87" s="32"/>
      <c r="AI87" s="10"/>
      <c r="AJ87" s="10"/>
      <c r="AK87" s="10"/>
      <c r="AL87" s="10"/>
      <c r="AM87" s="10"/>
      <c r="AN87" s="10"/>
      <c r="AO87" s="10"/>
      <c r="AP87" s="10"/>
      <c r="AR87" s="32"/>
      <c r="AT87" s="10"/>
      <c r="AU87" s="10"/>
      <c r="AV87" s="10"/>
      <c r="AW87" s="10"/>
      <c r="AY87" s="32"/>
    </row>
    <row r="88" spans="2:51" x14ac:dyDescent="0.6">
      <c r="B88" s="18"/>
      <c r="C88" s="18"/>
      <c r="D88" s="18"/>
      <c r="E88" s="18"/>
      <c r="F88" s="18"/>
      <c r="G88" s="18"/>
      <c r="H88" s="18"/>
      <c r="I88" s="27"/>
      <c r="J88" s="27"/>
      <c r="K88" s="28"/>
      <c r="L88" s="28"/>
      <c r="M88" s="18"/>
      <c r="N88" s="29"/>
      <c r="O88" s="29"/>
      <c r="P88" s="29"/>
      <c r="Q88" s="18"/>
      <c r="R88" s="18"/>
      <c r="S88" s="18"/>
      <c r="T88" s="18"/>
      <c r="U88" s="28"/>
      <c r="V88" s="18"/>
      <c r="W88" s="18"/>
      <c r="X88" s="18"/>
      <c r="Z88" s="10"/>
      <c r="AA88" s="30"/>
      <c r="AB88" s="30"/>
      <c r="AC88" s="10"/>
      <c r="AD88" s="31"/>
      <c r="AE88" s="31"/>
      <c r="AG88" s="32"/>
      <c r="AI88" s="10"/>
      <c r="AJ88" s="10"/>
      <c r="AK88" s="10"/>
      <c r="AL88" s="10"/>
      <c r="AM88" s="10"/>
      <c r="AN88" s="10"/>
      <c r="AO88" s="10"/>
      <c r="AP88" s="10"/>
      <c r="AR88" s="32"/>
      <c r="AT88" s="10"/>
      <c r="AU88" s="10"/>
      <c r="AV88" s="10"/>
      <c r="AW88" s="10"/>
      <c r="AY88" s="32"/>
    </row>
    <row r="89" spans="2:51" x14ac:dyDescent="0.6">
      <c r="B89" s="18"/>
      <c r="C89" s="18"/>
      <c r="D89" s="18"/>
      <c r="E89" s="18"/>
      <c r="F89" s="18"/>
      <c r="G89" s="18"/>
      <c r="H89" s="18"/>
      <c r="I89" s="27"/>
      <c r="J89" s="27"/>
      <c r="K89" s="28"/>
      <c r="L89" s="28"/>
      <c r="M89" s="18"/>
      <c r="N89" s="29"/>
      <c r="O89" s="29"/>
      <c r="P89" s="29"/>
      <c r="Q89" s="18"/>
      <c r="R89" s="18"/>
      <c r="S89" s="18"/>
      <c r="T89" s="18"/>
      <c r="U89" s="28"/>
      <c r="V89" s="18"/>
      <c r="W89" s="18"/>
      <c r="X89" s="18"/>
      <c r="Z89" s="10"/>
      <c r="AA89" s="30"/>
      <c r="AB89" s="30"/>
      <c r="AC89" s="10"/>
      <c r="AD89" s="31"/>
      <c r="AE89" s="31"/>
      <c r="AG89" s="32"/>
      <c r="AI89" s="10"/>
      <c r="AJ89" s="10"/>
      <c r="AK89" s="10"/>
      <c r="AL89" s="10"/>
      <c r="AM89" s="10"/>
      <c r="AN89" s="10"/>
      <c r="AO89" s="10"/>
      <c r="AP89" s="10"/>
      <c r="AR89" s="32"/>
      <c r="AT89" s="10"/>
      <c r="AU89" s="10"/>
      <c r="AV89" s="10"/>
      <c r="AW89" s="10"/>
      <c r="AY89" s="32"/>
    </row>
    <row r="90" spans="2:51" x14ac:dyDescent="0.6">
      <c r="B90" s="18"/>
      <c r="C90" s="18"/>
      <c r="D90" s="18"/>
      <c r="E90" s="18"/>
      <c r="F90" s="18"/>
      <c r="G90" s="18"/>
      <c r="H90" s="18"/>
      <c r="I90" s="27"/>
      <c r="J90" s="27"/>
      <c r="K90" s="28"/>
      <c r="L90" s="28"/>
      <c r="M90" s="18"/>
      <c r="N90" s="29"/>
      <c r="O90" s="29"/>
      <c r="P90" s="29"/>
      <c r="Q90" s="18"/>
      <c r="R90" s="18"/>
      <c r="S90" s="18"/>
      <c r="T90" s="18"/>
      <c r="U90" s="28"/>
      <c r="V90" s="18"/>
      <c r="W90" s="18"/>
      <c r="X90" s="18"/>
      <c r="Z90" s="10"/>
      <c r="AA90" s="30"/>
      <c r="AB90" s="30"/>
      <c r="AC90" s="10"/>
      <c r="AD90" s="31"/>
      <c r="AE90" s="31"/>
      <c r="AG90" s="32"/>
      <c r="AI90" s="10"/>
      <c r="AJ90" s="10"/>
      <c r="AK90" s="10"/>
      <c r="AL90" s="10"/>
      <c r="AM90" s="10"/>
      <c r="AN90" s="10"/>
      <c r="AO90" s="10"/>
      <c r="AP90" s="10"/>
      <c r="AR90" s="32"/>
      <c r="AT90" s="10"/>
      <c r="AU90" s="10"/>
      <c r="AV90" s="10"/>
      <c r="AW90" s="10"/>
      <c r="AY90" s="32"/>
    </row>
    <row r="91" spans="2:51" x14ac:dyDescent="0.6">
      <c r="B91" s="18"/>
      <c r="C91" s="18"/>
      <c r="D91" s="18"/>
      <c r="E91" s="18"/>
      <c r="F91" s="18"/>
      <c r="G91" s="18"/>
      <c r="H91" s="18"/>
      <c r="I91" s="27"/>
      <c r="J91" s="27"/>
      <c r="K91" s="28"/>
      <c r="L91" s="28"/>
      <c r="M91" s="18"/>
      <c r="N91" s="29"/>
      <c r="O91" s="29"/>
      <c r="P91" s="29"/>
      <c r="Q91" s="18"/>
      <c r="R91" s="18"/>
      <c r="S91" s="18"/>
      <c r="T91" s="18"/>
      <c r="U91" s="28"/>
      <c r="V91" s="18"/>
      <c r="W91" s="18"/>
      <c r="X91" s="18"/>
      <c r="Z91" s="10"/>
      <c r="AA91" s="30"/>
      <c r="AB91" s="30"/>
      <c r="AC91" s="10"/>
      <c r="AD91" s="31"/>
      <c r="AE91" s="31"/>
      <c r="AG91" s="32"/>
      <c r="AI91" s="10"/>
      <c r="AJ91" s="10"/>
      <c r="AK91" s="10"/>
      <c r="AL91" s="10"/>
      <c r="AM91" s="10"/>
      <c r="AN91" s="10"/>
      <c r="AO91" s="10"/>
      <c r="AP91" s="10"/>
      <c r="AR91" s="32"/>
      <c r="AT91" s="10"/>
      <c r="AU91" s="10"/>
      <c r="AV91" s="10"/>
      <c r="AW91" s="10"/>
      <c r="AY91" s="32"/>
    </row>
    <row r="92" spans="2:51" x14ac:dyDescent="0.6">
      <c r="B92" s="18"/>
      <c r="C92" s="18"/>
      <c r="D92" s="18"/>
      <c r="E92" s="18"/>
      <c r="F92" s="18"/>
      <c r="G92" s="18"/>
      <c r="H92" s="18"/>
      <c r="I92" s="27"/>
      <c r="J92" s="27"/>
      <c r="K92" s="28"/>
      <c r="L92" s="28"/>
      <c r="M92" s="18"/>
      <c r="N92" s="29"/>
      <c r="O92" s="29"/>
      <c r="P92" s="29"/>
      <c r="Q92" s="18"/>
      <c r="R92" s="18"/>
      <c r="S92" s="18"/>
      <c r="T92" s="18"/>
      <c r="U92" s="28"/>
      <c r="V92" s="18"/>
      <c r="W92" s="18"/>
      <c r="X92" s="18"/>
      <c r="Z92" s="10"/>
      <c r="AA92" s="30"/>
      <c r="AB92" s="30"/>
      <c r="AC92" s="10"/>
      <c r="AD92" s="31"/>
      <c r="AE92" s="31"/>
      <c r="AG92" s="32"/>
      <c r="AI92" s="10"/>
      <c r="AJ92" s="10"/>
      <c r="AK92" s="10"/>
      <c r="AL92" s="10"/>
      <c r="AM92" s="10"/>
      <c r="AN92" s="10"/>
      <c r="AO92" s="10"/>
      <c r="AP92" s="10"/>
      <c r="AR92" s="32"/>
      <c r="AT92" s="10"/>
      <c r="AU92" s="10"/>
      <c r="AV92" s="10"/>
      <c r="AW92" s="10"/>
      <c r="AY92" s="32"/>
    </row>
    <row r="93" spans="2:51" x14ac:dyDescent="0.6">
      <c r="B93" s="18"/>
      <c r="C93" s="18"/>
      <c r="D93" s="18"/>
      <c r="E93" s="18"/>
      <c r="F93" s="18"/>
      <c r="G93" s="18"/>
      <c r="H93" s="18"/>
      <c r="I93" s="27"/>
      <c r="J93" s="27"/>
      <c r="K93" s="28"/>
      <c r="L93" s="28"/>
      <c r="M93" s="18"/>
      <c r="N93" s="29"/>
      <c r="O93" s="29"/>
      <c r="P93" s="29"/>
      <c r="Q93" s="18"/>
      <c r="R93" s="18"/>
      <c r="S93" s="18"/>
      <c r="T93" s="18"/>
      <c r="U93" s="28"/>
      <c r="V93" s="18"/>
      <c r="W93" s="18"/>
      <c r="X93" s="18"/>
      <c r="Z93" s="10"/>
      <c r="AA93" s="30"/>
      <c r="AB93" s="30"/>
      <c r="AC93" s="10"/>
      <c r="AD93" s="31"/>
      <c r="AE93" s="31"/>
      <c r="AG93" s="32"/>
      <c r="AI93" s="10"/>
      <c r="AJ93" s="10"/>
      <c r="AK93" s="10"/>
      <c r="AL93" s="10"/>
      <c r="AM93" s="10"/>
      <c r="AN93" s="10"/>
      <c r="AO93" s="10"/>
      <c r="AP93" s="10"/>
      <c r="AR93" s="32"/>
      <c r="AT93" s="10"/>
      <c r="AU93" s="10"/>
      <c r="AV93" s="10"/>
      <c r="AW93" s="10"/>
      <c r="AY93" s="32"/>
    </row>
    <row r="94" spans="2:51" x14ac:dyDescent="0.6">
      <c r="B94" s="18"/>
      <c r="C94" s="18"/>
      <c r="D94" s="18"/>
      <c r="E94" s="18"/>
      <c r="F94" s="18"/>
      <c r="G94" s="18"/>
      <c r="H94" s="18"/>
      <c r="I94" s="27"/>
      <c r="J94" s="27"/>
      <c r="K94" s="28"/>
      <c r="L94" s="28"/>
      <c r="M94" s="18"/>
      <c r="N94" s="29"/>
      <c r="O94" s="29"/>
      <c r="P94" s="29"/>
      <c r="Q94" s="18"/>
      <c r="R94" s="18"/>
      <c r="S94" s="18"/>
      <c r="T94" s="18"/>
      <c r="U94" s="28"/>
      <c r="V94" s="18"/>
      <c r="W94" s="18"/>
      <c r="X94" s="18"/>
      <c r="Z94" s="10"/>
      <c r="AA94" s="30"/>
      <c r="AB94" s="30"/>
      <c r="AC94" s="10"/>
      <c r="AD94" s="31"/>
      <c r="AE94" s="31"/>
      <c r="AG94" s="32"/>
      <c r="AI94" s="10"/>
      <c r="AJ94" s="10"/>
      <c r="AK94" s="10"/>
      <c r="AL94" s="10"/>
      <c r="AM94" s="10"/>
      <c r="AN94" s="10"/>
      <c r="AO94" s="10"/>
      <c r="AP94" s="10"/>
      <c r="AR94" s="32"/>
      <c r="AT94" s="10"/>
      <c r="AU94" s="10"/>
      <c r="AV94" s="10"/>
      <c r="AW94" s="10"/>
      <c r="AY94" s="32"/>
    </row>
    <row r="95" spans="2:51" x14ac:dyDescent="0.6">
      <c r="B95" s="18"/>
      <c r="C95" s="18"/>
      <c r="D95" s="18"/>
      <c r="E95" s="18"/>
      <c r="F95" s="18"/>
      <c r="G95" s="18"/>
      <c r="H95" s="18"/>
      <c r="I95" s="27"/>
      <c r="J95" s="27"/>
      <c r="K95" s="28"/>
      <c r="L95" s="28"/>
      <c r="M95" s="18"/>
      <c r="N95" s="29"/>
      <c r="O95" s="29"/>
      <c r="P95" s="29"/>
      <c r="Q95" s="18"/>
      <c r="R95" s="18"/>
      <c r="S95" s="18"/>
      <c r="T95" s="18"/>
      <c r="U95" s="28"/>
      <c r="V95" s="18"/>
      <c r="W95" s="18"/>
      <c r="X95" s="18"/>
      <c r="Z95" s="10"/>
      <c r="AA95" s="30"/>
      <c r="AB95" s="30"/>
      <c r="AC95" s="10"/>
      <c r="AD95" s="31"/>
      <c r="AE95" s="31"/>
      <c r="AG95" s="32"/>
      <c r="AI95" s="10"/>
      <c r="AJ95" s="10"/>
      <c r="AK95" s="10"/>
      <c r="AL95" s="10"/>
      <c r="AM95" s="10"/>
      <c r="AN95" s="10"/>
      <c r="AO95" s="10"/>
      <c r="AP95" s="10"/>
      <c r="AR95" s="32"/>
      <c r="AT95" s="10"/>
      <c r="AU95" s="10"/>
      <c r="AV95" s="10"/>
      <c r="AW95" s="10"/>
      <c r="AY95" s="32"/>
    </row>
    <row r="96" spans="2:51" x14ac:dyDescent="0.6">
      <c r="B96" s="18"/>
      <c r="C96" s="18"/>
      <c r="D96" s="18"/>
      <c r="E96" s="18"/>
      <c r="F96" s="18"/>
      <c r="G96" s="18"/>
      <c r="H96" s="18"/>
      <c r="I96" s="27"/>
      <c r="J96" s="27"/>
      <c r="K96" s="28"/>
      <c r="L96" s="28"/>
      <c r="M96" s="18"/>
      <c r="N96" s="29"/>
      <c r="O96" s="29"/>
      <c r="P96" s="29"/>
      <c r="Q96" s="18"/>
      <c r="R96" s="18"/>
      <c r="S96" s="18"/>
      <c r="T96" s="18"/>
      <c r="U96" s="28"/>
      <c r="V96" s="18"/>
      <c r="W96" s="18"/>
      <c r="X96" s="18"/>
      <c r="Z96" s="10"/>
      <c r="AA96" s="30"/>
      <c r="AB96" s="30"/>
      <c r="AC96" s="10"/>
      <c r="AD96" s="31"/>
      <c r="AE96" s="31"/>
      <c r="AG96" s="32"/>
      <c r="AI96" s="10"/>
      <c r="AJ96" s="10"/>
      <c r="AK96" s="10"/>
      <c r="AL96" s="10"/>
      <c r="AM96" s="10"/>
      <c r="AN96" s="10"/>
      <c r="AO96" s="10"/>
      <c r="AP96" s="10"/>
      <c r="AR96" s="32"/>
      <c r="AT96" s="10"/>
      <c r="AU96" s="10"/>
      <c r="AV96" s="10"/>
      <c r="AW96" s="10"/>
      <c r="AY96" s="32"/>
    </row>
    <row r="97" spans="2:51" x14ac:dyDescent="0.6">
      <c r="B97" s="18"/>
      <c r="C97" s="18"/>
      <c r="D97" s="18"/>
      <c r="E97" s="18"/>
      <c r="F97" s="18"/>
      <c r="G97" s="18"/>
      <c r="H97" s="18"/>
      <c r="I97" s="27"/>
      <c r="J97" s="27"/>
      <c r="K97" s="28"/>
      <c r="L97" s="28"/>
      <c r="M97" s="18"/>
      <c r="N97" s="29"/>
      <c r="O97" s="29"/>
      <c r="P97" s="29"/>
      <c r="Q97" s="18"/>
      <c r="R97" s="18"/>
      <c r="S97" s="18"/>
      <c r="T97" s="18"/>
      <c r="U97" s="28"/>
      <c r="V97" s="18"/>
      <c r="W97" s="18"/>
      <c r="X97" s="18"/>
      <c r="Z97" s="10"/>
      <c r="AA97" s="30"/>
      <c r="AB97" s="30"/>
      <c r="AC97" s="10"/>
      <c r="AD97" s="31"/>
      <c r="AE97" s="31"/>
      <c r="AG97" s="32"/>
      <c r="AI97" s="10"/>
      <c r="AJ97" s="10"/>
      <c r="AK97" s="10"/>
      <c r="AL97" s="10"/>
      <c r="AM97" s="10"/>
      <c r="AN97" s="10"/>
      <c r="AO97" s="10"/>
      <c r="AP97" s="10"/>
      <c r="AR97" s="32"/>
      <c r="AT97" s="10"/>
      <c r="AU97" s="10"/>
      <c r="AV97" s="10"/>
      <c r="AW97" s="10"/>
      <c r="AY97" s="32"/>
    </row>
    <row r="98" spans="2:51" x14ac:dyDescent="0.6">
      <c r="B98" s="18"/>
      <c r="C98" s="18"/>
      <c r="D98" s="18"/>
      <c r="E98" s="18"/>
      <c r="F98" s="18"/>
      <c r="G98" s="18"/>
      <c r="H98" s="18"/>
      <c r="I98" s="27"/>
      <c r="J98" s="27"/>
      <c r="K98" s="28"/>
      <c r="L98" s="28"/>
      <c r="M98" s="18"/>
      <c r="N98" s="29"/>
      <c r="O98" s="29"/>
      <c r="P98" s="29"/>
      <c r="Q98" s="18"/>
      <c r="R98" s="18"/>
      <c r="S98" s="18"/>
      <c r="T98" s="18"/>
      <c r="U98" s="28"/>
      <c r="V98" s="18"/>
      <c r="W98" s="18"/>
      <c r="X98" s="18"/>
      <c r="Z98" s="10"/>
      <c r="AA98" s="30"/>
      <c r="AB98" s="30"/>
      <c r="AC98" s="10"/>
      <c r="AD98" s="31"/>
      <c r="AE98" s="31"/>
      <c r="AG98" s="32"/>
      <c r="AI98" s="10"/>
      <c r="AJ98" s="10"/>
      <c r="AK98" s="10"/>
      <c r="AL98" s="10"/>
      <c r="AM98" s="10"/>
      <c r="AN98" s="10"/>
      <c r="AO98" s="10"/>
      <c r="AP98" s="10"/>
      <c r="AR98" s="32"/>
      <c r="AT98" s="10"/>
      <c r="AU98" s="10"/>
      <c r="AV98" s="10"/>
      <c r="AW98" s="10"/>
      <c r="AY98" s="32"/>
    </row>
    <row r="99" spans="2:51" x14ac:dyDescent="0.6">
      <c r="B99" s="18"/>
      <c r="C99" s="18"/>
      <c r="D99" s="18"/>
      <c r="E99" s="18"/>
      <c r="F99" s="18"/>
      <c r="G99" s="18"/>
      <c r="H99" s="18"/>
      <c r="I99" s="27"/>
      <c r="J99" s="27"/>
      <c r="K99" s="28"/>
      <c r="L99" s="28"/>
      <c r="M99" s="18"/>
      <c r="N99" s="29"/>
      <c r="O99" s="29"/>
      <c r="P99" s="29"/>
      <c r="Q99" s="18"/>
      <c r="R99" s="18"/>
      <c r="S99" s="18"/>
      <c r="T99" s="18"/>
      <c r="U99" s="28"/>
      <c r="V99" s="18"/>
      <c r="W99" s="18"/>
      <c r="X99" s="18"/>
      <c r="Z99" s="10"/>
      <c r="AA99" s="30"/>
      <c r="AB99" s="30"/>
      <c r="AC99" s="10"/>
      <c r="AD99" s="31"/>
      <c r="AE99" s="31"/>
      <c r="AG99" s="32"/>
      <c r="AI99" s="10"/>
      <c r="AJ99" s="10"/>
      <c r="AK99" s="10"/>
      <c r="AL99" s="10"/>
      <c r="AM99" s="10"/>
      <c r="AN99" s="10"/>
      <c r="AO99" s="10"/>
      <c r="AP99" s="10"/>
      <c r="AR99" s="32"/>
      <c r="AT99" s="10"/>
      <c r="AU99" s="10"/>
      <c r="AV99" s="10"/>
      <c r="AW99" s="10"/>
      <c r="AY99" s="32"/>
    </row>
    <row r="100" spans="2:51" x14ac:dyDescent="0.6">
      <c r="B100" s="18"/>
      <c r="C100" s="18"/>
      <c r="D100" s="18"/>
      <c r="E100" s="18"/>
      <c r="F100" s="18"/>
      <c r="G100" s="18"/>
      <c r="H100" s="18"/>
      <c r="I100" s="27"/>
      <c r="J100" s="27"/>
      <c r="K100" s="28"/>
      <c r="L100" s="28"/>
      <c r="M100" s="18"/>
      <c r="N100" s="29"/>
      <c r="O100" s="29"/>
      <c r="P100" s="29"/>
      <c r="Q100" s="18"/>
      <c r="R100" s="18"/>
      <c r="S100" s="18"/>
      <c r="T100" s="18"/>
      <c r="U100" s="28"/>
      <c r="V100" s="18"/>
      <c r="W100" s="18"/>
      <c r="X100" s="18"/>
      <c r="Z100" s="10"/>
      <c r="AA100" s="30"/>
      <c r="AB100" s="30"/>
      <c r="AC100" s="10"/>
      <c r="AD100" s="31"/>
      <c r="AE100" s="31"/>
      <c r="AG100" s="32"/>
      <c r="AI100" s="10"/>
      <c r="AJ100" s="10"/>
      <c r="AK100" s="10"/>
      <c r="AL100" s="10"/>
      <c r="AM100" s="10"/>
      <c r="AN100" s="10"/>
      <c r="AO100" s="10"/>
      <c r="AP100" s="10"/>
      <c r="AR100" s="32"/>
      <c r="AT100" s="10"/>
      <c r="AU100" s="10"/>
      <c r="AV100" s="10"/>
      <c r="AW100" s="10"/>
      <c r="AY100" s="32"/>
    </row>
    <row r="101" spans="2:51" x14ac:dyDescent="0.6">
      <c r="B101" s="18"/>
      <c r="C101" s="18"/>
      <c r="D101" s="18"/>
      <c r="E101" s="18"/>
      <c r="F101" s="18"/>
      <c r="G101" s="18"/>
      <c r="H101" s="18"/>
      <c r="I101" s="27"/>
      <c r="J101" s="27"/>
      <c r="K101" s="28"/>
      <c r="L101" s="28"/>
      <c r="M101" s="18"/>
      <c r="N101" s="29"/>
      <c r="O101" s="29"/>
      <c r="P101" s="29"/>
      <c r="Q101" s="18"/>
      <c r="R101" s="18"/>
      <c r="S101" s="18"/>
      <c r="T101" s="18"/>
      <c r="U101" s="28"/>
      <c r="V101" s="18"/>
      <c r="W101" s="18"/>
      <c r="X101" s="18"/>
      <c r="Z101" s="10"/>
      <c r="AA101" s="30"/>
      <c r="AB101" s="30"/>
      <c r="AC101" s="10"/>
      <c r="AD101" s="31"/>
      <c r="AE101" s="31"/>
      <c r="AG101" s="32"/>
      <c r="AI101" s="10"/>
      <c r="AJ101" s="10"/>
      <c r="AK101" s="10"/>
      <c r="AL101" s="10"/>
      <c r="AM101" s="10"/>
      <c r="AN101" s="10"/>
      <c r="AO101" s="10"/>
      <c r="AP101" s="10"/>
      <c r="AR101" s="32"/>
      <c r="AT101" s="10"/>
      <c r="AU101" s="10"/>
      <c r="AV101" s="10"/>
      <c r="AW101" s="10"/>
      <c r="AY101" s="32"/>
    </row>
    <row r="102" spans="2:51" x14ac:dyDescent="0.6">
      <c r="B102" s="18"/>
      <c r="C102" s="18"/>
      <c r="D102" s="18"/>
      <c r="E102" s="18"/>
      <c r="F102" s="18"/>
      <c r="G102" s="18"/>
      <c r="H102" s="18"/>
      <c r="I102" s="27"/>
      <c r="J102" s="27"/>
      <c r="K102" s="28"/>
      <c r="L102" s="28"/>
      <c r="M102" s="18"/>
      <c r="N102" s="29"/>
      <c r="O102" s="29"/>
      <c r="P102" s="29"/>
      <c r="Q102" s="18"/>
      <c r="R102" s="18"/>
      <c r="S102" s="18"/>
      <c r="T102" s="18"/>
      <c r="U102" s="28"/>
      <c r="V102" s="18"/>
      <c r="W102" s="18"/>
      <c r="X102" s="18"/>
      <c r="Z102" s="10"/>
      <c r="AA102" s="30"/>
      <c r="AB102" s="30"/>
      <c r="AC102" s="10"/>
      <c r="AD102" s="31"/>
      <c r="AE102" s="31"/>
      <c r="AG102" s="32"/>
      <c r="AI102" s="10"/>
      <c r="AJ102" s="10"/>
      <c r="AK102" s="10"/>
      <c r="AL102" s="10"/>
      <c r="AM102" s="10"/>
      <c r="AN102" s="10"/>
      <c r="AO102" s="10"/>
      <c r="AP102" s="10"/>
      <c r="AR102" s="32"/>
      <c r="AT102" s="10"/>
      <c r="AU102" s="10"/>
      <c r="AV102" s="10"/>
      <c r="AW102" s="10"/>
      <c r="AY102" s="32"/>
    </row>
    <row r="103" spans="2:51" x14ac:dyDescent="0.6">
      <c r="B103" s="18"/>
      <c r="C103" s="18"/>
      <c r="D103" s="18"/>
      <c r="E103" s="18"/>
      <c r="F103" s="18"/>
      <c r="G103" s="18"/>
      <c r="H103" s="18"/>
      <c r="I103" s="27"/>
      <c r="J103" s="27"/>
      <c r="K103" s="28"/>
      <c r="L103" s="28"/>
      <c r="M103" s="18"/>
      <c r="N103" s="29"/>
      <c r="O103" s="29"/>
      <c r="P103" s="29"/>
      <c r="Q103" s="18"/>
      <c r="R103" s="18"/>
      <c r="S103" s="18"/>
      <c r="T103" s="18"/>
      <c r="U103" s="28"/>
      <c r="V103" s="18"/>
      <c r="W103" s="18"/>
      <c r="X103" s="18"/>
      <c r="Z103" s="10"/>
      <c r="AA103" s="30"/>
      <c r="AB103" s="30"/>
      <c r="AC103" s="10"/>
      <c r="AD103" s="31"/>
      <c r="AE103" s="31"/>
      <c r="AG103" s="32"/>
      <c r="AI103" s="10"/>
      <c r="AJ103" s="10"/>
      <c r="AK103" s="10"/>
      <c r="AL103" s="10"/>
      <c r="AM103" s="10"/>
      <c r="AN103" s="10"/>
      <c r="AO103" s="10"/>
      <c r="AP103" s="10"/>
      <c r="AR103" s="32"/>
      <c r="AT103" s="10"/>
      <c r="AU103" s="10"/>
      <c r="AV103" s="10"/>
      <c r="AW103" s="10"/>
      <c r="AY103" s="32"/>
    </row>
    <row r="104" spans="2:51" x14ac:dyDescent="0.6">
      <c r="B104" s="18"/>
      <c r="C104" s="18"/>
      <c r="D104" s="18"/>
      <c r="E104" s="18"/>
      <c r="F104" s="18"/>
      <c r="G104" s="18"/>
      <c r="H104" s="18"/>
      <c r="I104" s="27"/>
      <c r="J104" s="27"/>
      <c r="K104" s="28"/>
      <c r="L104" s="28"/>
      <c r="M104" s="18"/>
      <c r="N104" s="29"/>
      <c r="O104" s="29"/>
      <c r="P104" s="29"/>
      <c r="Q104" s="18"/>
      <c r="R104" s="18"/>
      <c r="S104" s="18"/>
      <c r="T104" s="18"/>
      <c r="U104" s="28"/>
      <c r="V104" s="18"/>
      <c r="W104" s="18"/>
      <c r="X104" s="18"/>
      <c r="Z104" s="10"/>
      <c r="AA104" s="30"/>
      <c r="AB104" s="30"/>
      <c r="AC104" s="10"/>
      <c r="AD104" s="31"/>
      <c r="AE104" s="31"/>
      <c r="AG104" s="32"/>
      <c r="AI104" s="10"/>
      <c r="AJ104" s="10"/>
      <c r="AK104" s="10"/>
      <c r="AL104" s="10"/>
      <c r="AM104" s="10"/>
      <c r="AN104" s="10"/>
      <c r="AO104" s="10"/>
      <c r="AP104" s="10"/>
      <c r="AR104" s="32"/>
      <c r="AT104" s="10"/>
      <c r="AU104" s="10"/>
      <c r="AV104" s="10"/>
      <c r="AW104" s="10"/>
      <c r="AY104" s="32"/>
    </row>
    <row r="105" spans="2:51" x14ac:dyDescent="0.6">
      <c r="B105" s="18"/>
      <c r="C105" s="18"/>
      <c r="D105" s="18"/>
      <c r="E105" s="18"/>
      <c r="F105" s="18"/>
      <c r="G105" s="18"/>
      <c r="H105" s="18"/>
      <c r="I105" s="27"/>
      <c r="J105" s="27"/>
      <c r="K105" s="28"/>
      <c r="L105" s="28"/>
      <c r="M105" s="18"/>
      <c r="N105" s="29"/>
      <c r="O105" s="29"/>
      <c r="P105" s="29"/>
      <c r="Q105" s="18"/>
      <c r="R105" s="18"/>
      <c r="S105" s="18"/>
      <c r="T105" s="18"/>
      <c r="U105" s="28"/>
      <c r="V105" s="18"/>
      <c r="W105" s="18"/>
      <c r="X105" s="18"/>
      <c r="Z105" s="10"/>
      <c r="AA105" s="30"/>
      <c r="AB105" s="30"/>
      <c r="AC105" s="10"/>
      <c r="AD105" s="31"/>
      <c r="AE105" s="31"/>
      <c r="AG105" s="32"/>
      <c r="AI105" s="10"/>
      <c r="AJ105" s="10"/>
      <c r="AK105" s="10"/>
      <c r="AL105" s="10"/>
      <c r="AM105" s="10"/>
      <c r="AN105" s="10"/>
      <c r="AO105" s="10"/>
      <c r="AP105" s="10"/>
      <c r="AR105" s="32"/>
      <c r="AT105" s="10"/>
      <c r="AU105" s="10"/>
      <c r="AV105" s="10"/>
      <c r="AW105" s="10"/>
      <c r="AY105" s="32"/>
    </row>
    <row r="106" spans="2:51" x14ac:dyDescent="0.6">
      <c r="B106" s="18"/>
      <c r="C106" s="18"/>
      <c r="D106" s="18"/>
      <c r="E106" s="18"/>
      <c r="F106" s="18"/>
      <c r="G106" s="18"/>
      <c r="H106" s="18"/>
      <c r="I106" s="27"/>
      <c r="J106" s="27"/>
      <c r="K106" s="28"/>
      <c r="L106" s="28"/>
      <c r="M106" s="18"/>
      <c r="N106" s="29"/>
      <c r="O106" s="29"/>
      <c r="P106" s="29"/>
      <c r="Q106" s="18"/>
      <c r="R106" s="18"/>
      <c r="S106" s="18"/>
      <c r="T106" s="18"/>
      <c r="U106" s="28"/>
      <c r="V106" s="18"/>
      <c r="W106" s="18"/>
      <c r="X106" s="18"/>
      <c r="Z106" s="10"/>
      <c r="AA106" s="30"/>
      <c r="AB106" s="30"/>
      <c r="AC106" s="10"/>
      <c r="AD106" s="31"/>
      <c r="AE106" s="31"/>
      <c r="AG106" s="32"/>
      <c r="AI106" s="10"/>
      <c r="AJ106" s="10"/>
      <c r="AK106" s="10"/>
      <c r="AL106" s="10"/>
      <c r="AM106" s="10"/>
      <c r="AN106" s="10"/>
      <c r="AO106" s="10"/>
      <c r="AP106" s="10"/>
      <c r="AR106" s="32"/>
      <c r="AT106" s="10"/>
      <c r="AU106" s="10"/>
      <c r="AV106" s="10"/>
      <c r="AW106" s="10"/>
      <c r="AY106" s="32"/>
    </row>
    <row r="107" spans="2:51" x14ac:dyDescent="0.6">
      <c r="B107" s="18"/>
      <c r="C107" s="18"/>
      <c r="D107" s="18"/>
      <c r="E107" s="18"/>
      <c r="F107" s="18"/>
      <c r="G107" s="18"/>
      <c r="H107" s="18"/>
      <c r="I107" s="27"/>
      <c r="J107" s="27"/>
      <c r="K107" s="28"/>
      <c r="L107" s="28"/>
      <c r="M107" s="18"/>
      <c r="N107" s="29"/>
      <c r="O107" s="29"/>
      <c r="P107" s="29"/>
      <c r="Q107" s="18"/>
      <c r="R107" s="18"/>
      <c r="S107" s="18"/>
      <c r="T107" s="18"/>
      <c r="U107" s="28"/>
      <c r="V107" s="18"/>
      <c r="W107" s="18"/>
      <c r="X107" s="18"/>
      <c r="Z107" s="10"/>
      <c r="AA107" s="30"/>
      <c r="AB107" s="30"/>
      <c r="AC107" s="10"/>
      <c r="AD107" s="31"/>
      <c r="AE107" s="31"/>
      <c r="AG107" s="32"/>
      <c r="AI107" s="10"/>
      <c r="AJ107" s="10"/>
      <c r="AK107" s="10"/>
      <c r="AL107" s="10"/>
      <c r="AM107" s="10"/>
      <c r="AN107" s="10"/>
      <c r="AO107" s="10"/>
      <c r="AP107" s="10"/>
      <c r="AR107" s="32"/>
      <c r="AT107" s="10"/>
      <c r="AU107" s="10"/>
      <c r="AV107" s="10"/>
      <c r="AW107" s="10"/>
      <c r="AY107" s="32"/>
    </row>
    <row r="108" spans="2:51" x14ac:dyDescent="0.6">
      <c r="B108" s="18"/>
      <c r="C108" s="18"/>
      <c r="D108" s="18"/>
      <c r="E108" s="18"/>
      <c r="F108" s="18"/>
      <c r="G108" s="18"/>
      <c r="H108" s="18"/>
      <c r="I108" s="27"/>
      <c r="J108" s="27"/>
      <c r="K108" s="28"/>
      <c r="L108" s="28"/>
      <c r="M108" s="18"/>
      <c r="N108" s="29"/>
      <c r="O108" s="29"/>
      <c r="P108" s="29"/>
      <c r="Q108" s="18"/>
      <c r="R108" s="18"/>
      <c r="S108" s="18"/>
      <c r="T108" s="18"/>
      <c r="U108" s="28"/>
      <c r="V108" s="18"/>
      <c r="W108" s="18"/>
      <c r="X108" s="18"/>
      <c r="Z108" s="10"/>
      <c r="AA108" s="30"/>
      <c r="AB108" s="30"/>
      <c r="AC108" s="10"/>
      <c r="AD108" s="31"/>
      <c r="AE108" s="31"/>
      <c r="AG108" s="32"/>
      <c r="AI108" s="10"/>
      <c r="AJ108" s="10"/>
      <c r="AK108" s="10"/>
      <c r="AL108" s="10"/>
      <c r="AM108" s="10"/>
      <c r="AN108" s="10"/>
      <c r="AO108" s="10"/>
      <c r="AP108" s="10"/>
      <c r="AR108" s="32"/>
      <c r="AT108" s="10"/>
      <c r="AU108" s="10"/>
      <c r="AV108" s="10"/>
      <c r="AW108" s="10"/>
      <c r="AY108" s="32"/>
    </row>
    <row r="109" spans="2:51" x14ac:dyDescent="0.6">
      <c r="B109" s="18"/>
      <c r="C109" s="18"/>
      <c r="D109" s="18"/>
      <c r="E109" s="18"/>
      <c r="F109" s="18"/>
      <c r="G109" s="18"/>
      <c r="H109" s="18"/>
      <c r="I109" s="27"/>
      <c r="J109" s="27"/>
      <c r="K109" s="28"/>
      <c r="L109" s="28"/>
      <c r="M109" s="18"/>
      <c r="N109" s="29"/>
      <c r="O109" s="29"/>
      <c r="P109" s="29"/>
      <c r="Q109" s="18"/>
      <c r="R109" s="18"/>
      <c r="S109" s="18"/>
      <c r="T109" s="18"/>
      <c r="U109" s="28"/>
      <c r="V109" s="18"/>
      <c r="W109" s="18"/>
      <c r="X109" s="18"/>
      <c r="Z109" s="10"/>
      <c r="AA109" s="30"/>
      <c r="AB109" s="30"/>
      <c r="AC109" s="10"/>
      <c r="AD109" s="31"/>
      <c r="AE109" s="31"/>
      <c r="AG109" s="32"/>
      <c r="AI109" s="10"/>
      <c r="AJ109" s="10"/>
      <c r="AK109" s="10"/>
      <c r="AL109" s="10"/>
      <c r="AM109" s="10"/>
      <c r="AN109" s="10"/>
      <c r="AO109" s="10"/>
      <c r="AP109" s="10"/>
      <c r="AR109" s="32"/>
      <c r="AT109" s="10"/>
      <c r="AU109" s="10"/>
      <c r="AV109" s="10"/>
      <c r="AW109" s="10"/>
      <c r="AY109" s="32"/>
    </row>
    <row r="110" spans="2:51" x14ac:dyDescent="0.6">
      <c r="B110" s="18"/>
      <c r="C110" s="18"/>
      <c r="D110" s="18"/>
      <c r="E110" s="18"/>
      <c r="F110" s="18"/>
      <c r="G110" s="18"/>
      <c r="H110" s="18"/>
      <c r="I110" s="27"/>
      <c r="J110" s="27"/>
      <c r="K110" s="28"/>
      <c r="L110" s="28"/>
      <c r="M110" s="18"/>
      <c r="N110" s="29"/>
      <c r="O110" s="29"/>
      <c r="P110" s="29"/>
      <c r="Q110" s="18"/>
      <c r="R110" s="18"/>
      <c r="S110" s="18"/>
      <c r="T110" s="18"/>
      <c r="U110" s="28"/>
      <c r="V110" s="18"/>
      <c r="W110" s="18"/>
      <c r="X110" s="18"/>
      <c r="Z110" s="10"/>
      <c r="AA110" s="30"/>
      <c r="AB110" s="30"/>
      <c r="AC110" s="10"/>
      <c r="AD110" s="31"/>
      <c r="AE110" s="31"/>
      <c r="AG110" s="32"/>
      <c r="AI110" s="10"/>
      <c r="AJ110" s="10"/>
      <c r="AK110" s="10"/>
      <c r="AL110" s="10"/>
      <c r="AM110" s="10"/>
      <c r="AN110" s="10"/>
      <c r="AO110" s="10"/>
      <c r="AP110" s="10"/>
      <c r="AR110" s="32"/>
      <c r="AT110" s="10"/>
      <c r="AU110" s="10"/>
      <c r="AV110" s="10"/>
      <c r="AW110" s="10"/>
      <c r="AY110" s="32"/>
    </row>
    <row r="111" spans="2:51" x14ac:dyDescent="0.6">
      <c r="B111" s="18"/>
      <c r="C111" s="18"/>
      <c r="D111" s="18"/>
      <c r="E111" s="18"/>
      <c r="F111" s="18"/>
      <c r="G111" s="18"/>
      <c r="H111" s="18"/>
      <c r="I111" s="27"/>
      <c r="J111" s="27"/>
      <c r="K111" s="28"/>
      <c r="L111" s="28"/>
      <c r="M111" s="18"/>
      <c r="N111" s="29"/>
      <c r="O111" s="29"/>
      <c r="P111" s="29"/>
      <c r="Q111" s="18"/>
      <c r="R111" s="18"/>
      <c r="S111" s="18"/>
      <c r="T111" s="18"/>
      <c r="U111" s="28"/>
      <c r="V111" s="18"/>
      <c r="W111" s="18"/>
      <c r="X111" s="18"/>
      <c r="Z111" s="10"/>
      <c r="AA111" s="30"/>
      <c r="AB111" s="30"/>
      <c r="AC111" s="10"/>
      <c r="AD111" s="31"/>
      <c r="AE111" s="31"/>
      <c r="AG111" s="32"/>
      <c r="AI111" s="10"/>
      <c r="AJ111" s="10"/>
      <c r="AK111" s="10"/>
      <c r="AL111" s="10"/>
      <c r="AM111" s="10"/>
      <c r="AN111" s="10"/>
      <c r="AO111" s="10"/>
      <c r="AP111" s="10"/>
      <c r="AR111" s="32"/>
      <c r="AT111" s="10"/>
      <c r="AU111" s="10"/>
      <c r="AV111" s="10"/>
      <c r="AW111" s="10"/>
      <c r="AY111" s="32"/>
    </row>
    <row r="112" spans="2:51" x14ac:dyDescent="0.6">
      <c r="B112" s="18"/>
      <c r="C112" s="18"/>
      <c r="D112" s="18"/>
      <c r="E112" s="18"/>
      <c r="F112" s="18"/>
      <c r="G112" s="18"/>
      <c r="H112" s="18"/>
      <c r="I112" s="27"/>
      <c r="J112" s="27"/>
      <c r="K112" s="28"/>
      <c r="L112" s="28"/>
      <c r="M112" s="18"/>
      <c r="N112" s="29"/>
      <c r="O112" s="29"/>
      <c r="P112" s="29"/>
      <c r="Q112" s="18"/>
      <c r="R112" s="18"/>
      <c r="S112" s="18"/>
      <c r="T112" s="18"/>
      <c r="U112" s="28"/>
      <c r="V112" s="18"/>
      <c r="W112" s="18"/>
      <c r="X112" s="18"/>
      <c r="Z112" s="10"/>
      <c r="AA112" s="30"/>
      <c r="AB112" s="30"/>
      <c r="AC112" s="10"/>
      <c r="AD112" s="31"/>
      <c r="AE112" s="31"/>
      <c r="AG112" s="32"/>
      <c r="AI112" s="10"/>
      <c r="AJ112" s="10"/>
      <c r="AK112" s="10"/>
      <c r="AL112" s="10"/>
      <c r="AM112" s="10"/>
      <c r="AN112" s="10"/>
      <c r="AO112" s="10"/>
      <c r="AP112" s="10"/>
      <c r="AR112" s="32"/>
      <c r="AT112" s="10"/>
      <c r="AU112" s="10"/>
      <c r="AV112" s="10"/>
      <c r="AW112" s="10"/>
      <c r="AY112" s="32"/>
    </row>
    <row r="113" spans="2:51" x14ac:dyDescent="0.6">
      <c r="B113" s="18"/>
      <c r="C113" s="18"/>
      <c r="D113" s="18"/>
      <c r="E113" s="18"/>
      <c r="F113" s="18"/>
      <c r="G113" s="18"/>
      <c r="H113" s="18"/>
      <c r="I113" s="27"/>
      <c r="J113" s="27"/>
      <c r="K113" s="28"/>
      <c r="L113" s="28"/>
      <c r="M113" s="18"/>
      <c r="N113" s="29"/>
      <c r="O113" s="29"/>
      <c r="P113" s="29"/>
      <c r="Q113" s="18"/>
      <c r="R113" s="18"/>
      <c r="S113" s="18"/>
      <c r="T113" s="18"/>
      <c r="U113" s="28"/>
      <c r="V113" s="18"/>
      <c r="W113" s="18"/>
      <c r="X113" s="18"/>
      <c r="Z113" s="10"/>
      <c r="AA113" s="30"/>
      <c r="AB113" s="30"/>
      <c r="AC113" s="10"/>
      <c r="AD113" s="31"/>
      <c r="AE113" s="31"/>
      <c r="AG113" s="32"/>
      <c r="AI113" s="10"/>
      <c r="AJ113" s="10"/>
      <c r="AK113" s="10"/>
      <c r="AL113" s="10"/>
      <c r="AM113" s="10"/>
      <c r="AN113" s="10"/>
      <c r="AO113" s="10"/>
      <c r="AP113" s="10"/>
      <c r="AR113" s="32"/>
      <c r="AT113" s="10"/>
      <c r="AU113" s="10"/>
      <c r="AV113" s="10"/>
      <c r="AW113" s="10"/>
      <c r="AY113" s="32"/>
    </row>
    <row r="114" spans="2:51" x14ac:dyDescent="0.6">
      <c r="B114" s="18"/>
      <c r="C114" s="18"/>
      <c r="D114" s="18"/>
      <c r="E114" s="18"/>
      <c r="F114" s="18"/>
      <c r="G114" s="18"/>
      <c r="H114" s="18"/>
      <c r="I114" s="27"/>
      <c r="J114" s="27"/>
      <c r="K114" s="28"/>
      <c r="L114" s="28"/>
      <c r="M114" s="18"/>
      <c r="N114" s="29"/>
      <c r="O114" s="29"/>
      <c r="P114" s="29"/>
      <c r="Q114" s="18"/>
      <c r="R114" s="18"/>
      <c r="S114" s="18"/>
      <c r="T114" s="18"/>
      <c r="U114" s="28"/>
      <c r="V114" s="18"/>
      <c r="W114" s="18"/>
      <c r="X114" s="18"/>
      <c r="Z114" s="10"/>
      <c r="AA114" s="30"/>
      <c r="AB114" s="30"/>
      <c r="AC114" s="10"/>
      <c r="AD114" s="31"/>
      <c r="AE114" s="31"/>
      <c r="AG114" s="32"/>
      <c r="AI114" s="10"/>
      <c r="AJ114" s="10"/>
      <c r="AK114" s="10"/>
      <c r="AL114" s="10"/>
      <c r="AM114" s="10"/>
      <c r="AN114" s="10"/>
      <c r="AO114" s="10"/>
      <c r="AP114" s="10"/>
      <c r="AR114" s="32"/>
      <c r="AT114" s="10"/>
      <c r="AU114" s="10"/>
      <c r="AV114" s="10"/>
      <c r="AW114" s="10"/>
      <c r="AY114" s="32"/>
    </row>
    <row r="115" spans="2:51" x14ac:dyDescent="0.6">
      <c r="B115" s="18"/>
      <c r="C115" s="18"/>
      <c r="D115" s="18"/>
      <c r="E115" s="18"/>
      <c r="F115" s="18"/>
      <c r="G115" s="18"/>
      <c r="H115" s="18"/>
      <c r="I115" s="27"/>
      <c r="J115" s="27"/>
      <c r="K115" s="28"/>
      <c r="L115" s="28"/>
      <c r="M115" s="18"/>
      <c r="N115" s="29"/>
      <c r="O115" s="29"/>
      <c r="P115" s="29"/>
      <c r="Q115" s="18"/>
      <c r="R115" s="18"/>
      <c r="S115" s="18"/>
      <c r="T115" s="18"/>
      <c r="U115" s="28"/>
      <c r="V115" s="18"/>
      <c r="W115" s="18"/>
      <c r="X115" s="18"/>
      <c r="Z115" s="10"/>
      <c r="AA115" s="30"/>
      <c r="AB115" s="30"/>
      <c r="AC115" s="10"/>
      <c r="AD115" s="31"/>
      <c r="AE115" s="31"/>
      <c r="AG115" s="32"/>
      <c r="AI115" s="10"/>
      <c r="AJ115" s="10"/>
      <c r="AK115" s="10"/>
      <c r="AL115" s="10"/>
      <c r="AM115" s="10"/>
      <c r="AN115" s="10"/>
      <c r="AO115" s="10"/>
      <c r="AP115" s="10"/>
      <c r="AR115" s="32"/>
      <c r="AT115" s="10"/>
      <c r="AU115" s="10"/>
      <c r="AV115" s="10"/>
      <c r="AW115" s="10"/>
      <c r="AY115" s="32"/>
    </row>
    <row r="116" spans="2:51" x14ac:dyDescent="0.6">
      <c r="B116" s="18"/>
      <c r="C116" s="18"/>
      <c r="D116" s="18"/>
      <c r="E116" s="18"/>
      <c r="F116" s="18"/>
      <c r="G116" s="18"/>
      <c r="H116" s="18"/>
      <c r="I116" s="27"/>
      <c r="J116" s="27"/>
      <c r="K116" s="28"/>
      <c r="L116" s="28"/>
      <c r="M116" s="18"/>
      <c r="N116" s="29"/>
      <c r="O116" s="29"/>
      <c r="P116" s="29"/>
      <c r="Q116" s="18"/>
      <c r="R116" s="18"/>
      <c r="S116" s="18"/>
      <c r="T116" s="18"/>
      <c r="U116" s="28"/>
      <c r="V116" s="18"/>
      <c r="W116" s="18"/>
      <c r="X116" s="18"/>
      <c r="Z116" s="10"/>
      <c r="AA116" s="30"/>
      <c r="AB116" s="30"/>
      <c r="AC116" s="10"/>
      <c r="AD116" s="31"/>
      <c r="AE116" s="31"/>
      <c r="AG116" s="32"/>
      <c r="AI116" s="10"/>
      <c r="AJ116" s="10"/>
      <c r="AK116" s="10"/>
      <c r="AL116" s="10"/>
      <c r="AM116" s="10"/>
      <c r="AN116" s="10"/>
      <c r="AO116" s="10"/>
      <c r="AP116" s="10"/>
      <c r="AR116" s="32"/>
      <c r="AT116" s="10"/>
      <c r="AU116" s="10"/>
      <c r="AV116" s="10"/>
      <c r="AW116" s="10"/>
      <c r="AY116" s="32"/>
    </row>
    <row r="117" spans="2:51" x14ac:dyDescent="0.6">
      <c r="B117" s="18"/>
      <c r="C117" s="18"/>
      <c r="D117" s="18"/>
      <c r="E117" s="18"/>
      <c r="F117" s="18"/>
      <c r="G117" s="18"/>
      <c r="H117" s="18"/>
      <c r="I117" s="27"/>
      <c r="J117" s="27"/>
      <c r="K117" s="28"/>
      <c r="L117" s="28"/>
      <c r="M117" s="18"/>
      <c r="N117" s="29"/>
      <c r="O117" s="29"/>
      <c r="P117" s="29"/>
      <c r="Q117" s="18"/>
      <c r="R117" s="18"/>
      <c r="S117" s="18"/>
      <c r="T117" s="18"/>
      <c r="U117" s="28"/>
      <c r="V117" s="18"/>
      <c r="W117" s="18"/>
      <c r="X117" s="18"/>
      <c r="Z117" s="10"/>
      <c r="AA117" s="30"/>
      <c r="AB117" s="30"/>
      <c r="AC117" s="10"/>
      <c r="AD117" s="31"/>
      <c r="AE117" s="31"/>
      <c r="AG117" s="32"/>
      <c r="AI117" s="10"/>
      <c r="AJ117" s="10"/>
      <c r="AK117" s="10"/>
      <c r="AL117" s="10"/>
      <c r="AM117" s="10"/>
      <c r="AN117" s="10"/>
      <c r="AO117" s="10"/>
      <c r="AP117" s="10"/>
      <c r="AR117" s="32"/>
      <c r="AT117" s="10"/>
      <c r="AU117" s="10"/>
      <c r="AV117" s="10"/>
      <c r="AW117" s="10"/>
      <c r="AY117" s="32"/>
    </row>
    <row r="118" spans="2:51" x14ac:dyDescent="0.6">
      <c r="B118" s="18"/>
      <c r="C118" s="18"/>
      <c r="D118" s="18"/>
      <c r="E118" s="18"/>
      <c r="F118" s="18"/>
      <c r="G118" s="18"/>
      <c r="H118" s="18"/>
      <c r="I118" s="27"/>
      <c r="J118" s="27"/>
      <c r="K118" s="28"/>
      <c r="L118" s="28"/>
      <c r="M118" s="18"/>
      <c r="N118" s="29"/>
      <c r="O118" s="29"/>
      <c r="P118" s="29"/>
      <c r="Q118" s="18"/>
      <c r="R118" s="18"/>
      <c r="S118" s="18"/>
      <c r="T118" s="18"/>
      <c r="U118" s="28"/>
      <c r="V118" s="18"/>
      <c r="W118" s="18"/>
      <c r="X118" s="18"/>
      <c r="Z118" s="10"/>
      <c r="AA118" s="30"/>
      <c r="AB118" s="30"/>
      <c r="AC118" s="10"/>
      <c r="AD118" s="31"/>
      <c r="AE118" s="31"/>
      <c r="AG118" s="32"/>
      <c r="AI118" s="10"/>
      <c r="AJ118" s="10"/>
      <c r="AK118" s="10"/>
      <c r="AL118" s="10"/>
      <c r="AM118" s="10"/>
      <c r="AN118" s="10"/>
      <c r="AO118" s="10"/>
      <c r="AP118" s="10"/>
      <c r="AR118" s="32"/>
      <c r="AT118" s="10"/>
      <c r="AU118" s="10"/>
      <c r="AV118" s="10"/>
      <c r="AW118" s="10"/>
      <c r="AY118" s="32"/>
    </row>
    <row r="119" spans="2:51" x14ac:dyDescent="0.6">
      <c r="B119" s="18"/>
      <c r="C119" s="18"/>
      <c r="D119" s="18"/>
      <c r="E119" s="18"/>
      <c r="F119" s="18"/>
      <c r="G119" s="18"/>
      <c r="H119" s="18"/>
      <c r="I119" s="27"/>
      <c r="J119" s="27"/>
      <c r="K119" s="28"/>
      <c r="L119" s="28"/>
      <c r="M119" s="18"/>
      <c r="N119" s="29"/>
      <c r="O119" s="29"/>
      <c r="P119" s="29"/>
      <c r="Q119" s="18"/>
      <c r="R119" s="18"/>
      <c r="S119" s="18"/>
      <c r="T119" s="18"/>
      <c r="U119" s="28"/>
      <c r="V119" s="18"/>
      <c r="W119" s="18"/>
      <c r="X119" s="18"/>
      <c r="Z119" s="10"/>
      <c r="AA119" s="30"/>
      <c r="AB119" s="30"/>
      <c r="AC119" s="10"/>
      <c r="AD119" s="31"/>
      <c r="AE119" s="31"/>
      <c r="AG119" s="32"/>
      <c r="AI119" s="10"/>
      <c r="AJ119" s="10"/>
      <c r="AK119" s="10"/>
      <c r="AL119" s="10"/>
      <c r="AM119" s="10"/>
      <c r="AN119" s="10"/>
      <c r="AO119" s="10"/>
      <c r="AP119" s="10"/>
      <c r="AR119" s="32"/>
      <c r="AT119" s="10"/>
      <c r="AU119" s="10"/>
      <c r="AV119" s="10"/>
      <c r="AW119" s="10"/>
      <c r="AY119" s="32"/>
    </row>
    <row r="120" spans="2:51" x14ac:dyDescent="0.6">
      <c r="B120" s="18"/>
      <c r="C120" s="18"/>
      <c r="D120" s="18"/>
      <c r="E120" s="18"/>
      <c r="F120" s="18"/>
      <c r="G120" s="18"/>
      <c r="H120" s="18"/>
      <c r="I120" s="27"/>
      <c r="J120" s="27"/>
      <c r="K120" s="28"/>
      <c r="L120" s="28"/>
      <c r="M120" s="18"/>
      <c r="N120" s="29"/>
      <c r="O120" s="29"/>
      <c r="P120" s="29"/>
      <c r="Q120" s="18"/>
      <c r="R120" s="18"/>
      <c r="S120" s="18"/>
      <c r="T120" s="18"/>
      <c r="U120" s="28"/>
      <c r="V120" s="18"/>
      <c r="W120" s="18"/>
      <c r="X120" s="18"/>
      <c r="Z120" s="10"/>
      <c r="AA120" s="30"/>
      <c r="AB120" s="30"/>
      <c r="AC120" s="10"/>
      <c r="AD120" s="31"/>
      <c r="AE120" s="31"/>
      <c r="AG120" s="32"/>
      <c r="AI120" s="10"/>
      <c r="AJ120" s="10"/>
      <c r="AK120" s="10"/>
      <c r="AL120" s="10"/>
      <c r="AM120" s="10"/>
      <c r="AN120" s="10"/>
      <c r="AO120" s="10"/>
      <c r="AP120" s="10"/>
      <c r="AR120" s="32"/>
      <c r="AT120" s="10"/>
      <c r="AU120" s="10"/>
      <c r="AV120" s="10"/>
      <c r="AW120" s="10"/>
      <c r="AY120" s="32"/>
    </row>
    <row r="121" spans="2:51" x14ac:dyDescent="0.6">
      <c r="B121" s="18"/>
      <c r="C121" s="18"/>
      <c r="D121" s="18"/>
      <c r="E121" s="18"/>
      <c r="F121" s="18"/>
      <c r="G121" s="18"/>
      <c r="H121" s="18"/>
      <c r="I121" s="27"/>
      <c r="J121" s="27"/>
      <c r="K121" s="28"/>
      <c r="L121" s="28"/>
      <c r="M121" s="18"/>
      <c r="N121" s="29"/>
      <c r="O121" s="29"/>
      <c r="P121" s="29"/>
      <c r="Q121" s="18"/>
      <c r="R121" s="18"/>
      <c r="S121" s="18"/>
      <c r="T121" s="18"/>
      <c r="U121" s="28"/>
      <c r="V121" s="18"/>
      <c r="W121" s="18"/>
      <c r="X121" s="18"/>
      <c r="Z121" s="10"/>
      <c r="AA121" s="30"/>
      <c r="AB121" s="30"/>
      <c r="AC121" s="10"/>
      <c r="AD121" s="31"/>
      <c r="AE121" s="31"/>
      <c r="AG121" s="32"/>
      <c r="AI121" s="10"/>
      <c r="AJ121" s="10"/>
      <c r="AK121" s="10"/>
      <c r="AL121" s="10"/>
      <c r="AM121" s="10"/>
      <c r="AN121" s="10"/>
      <c r="AO121" s="10"/>
      <c r="AP121" s="10"/>
      <c r="AR121" s="32"/>
      <c r="AT121" s="10"/>
      <c r="AU121" s="10"/>
      <c r="AV121" s="10"/>
      <c r="AW121" s="10"/>
      <c r="AY121" s="32"/>
    </row>
    <row r="122" spans="2:51" x14ac:dyDescent="0.6">
      <c r="B122" s="18"/>
      <c r="C122" s="18"/>
      <c r="D122" s="18"/>
      <c r="E122" s="18"/>
      <c r="F122" s="18"/>
      <c r="G122" s="18"/>
      <c r="H122" s="18"/>
      <c r="I122" s="27"/>
      <c r="J122" s="27"/>
      <c r="K122" s="28"/>
      <c r="L122" s="28"/>
      <c r="M122" s="18"/>
      <c r="N122" s="29"/>
      <c r="O122" s="29"/>
      <c r="P122" s="29"/>
      <c r="Q122" s="18"/>
      <c r="R122" s="18"/>
      <c r="S122" s="18"/>
      <c r="T122" s="18"/>
      <c r="U122" s="28"/>
      <c r="V122" s="18"/>
      <c r="W122" s="18"/>
      <c r="X122" s="18"/>
      <c r="Z122" s="10"/>
      <c r="AA122" s="30"/>
      <c r="AB122" s="30"/>
      <c r="AC122" s="10"/>
      <c r="AD122" s="31"/>
      <c r="AE122" s="31"/>
      <c r="AG122" s="32"/>
      <c r="AI122" s="10"/>
      <c r="AJ122" s="10"/>
      <c r="AK122" s="10"/>
      <c r="AL122" s="10"/>
      <c r="AM122" s="10"/>
      <c r="AN122" s="10"/>
      <c r="AO122" s="10"/>
      <c r="AP122" s="10"/>
      <c r="AR122" s="32"/>
      <c r="AT122" s="10"/>
      <c r="AU122" s="10"/>
      <c r="AV122" s="10"/>
      <c r="AW122" s="10"/>
      <c r="AY122" s="32"/>
    </row>
    <row r="123" spans="2:51" x14ac:dyDescent="0.6">
      <c r="B123" s="18"/>
      <c r="C123" s="18"/>
      <c r="D123" s="18"/>
      <c r="E123" s="18"/>
      <c r="F123" s="18"/>
      <c r="G123" s="18"/>
      <c r="H123" s="18"/>
      <c r="I123" s="27"/>
      <c r="J123" s="27"/>
      <c r="K123" s="28"/>
      <c r="L123" s="28"/>
      <c r="M123" s="18"/>
      <c r="N123" s="29"/>
      <c r="O123" s="29"/>
      <c r="P123" s="29"/>
      <c r="Q123" s="18"/>
      <c r="R123" s="18"/>
      <c r="S123" s="18"/>
      <c r="T123" s="18"/>
      <c r="U123" s="28"/>
      <c r="V123" s="18"/>
      <c r="W123" s="18"/>
      <c r="X123" s="18"/>
      <c r="Z123" s="10"/>
      <c r="AA123" s="30"/>
      <c r="AB123" s="30"/>
      <c r="AC123" s="10"/>
      <c r="AD123" s="31"/>
      <c r="AE123" s="31"/>
      <c r="AG123" s="32"/>
      <c r="AI123" s="10"/>
      <c r="AJ123" s="10"/>
      <c r="AK123" s="10"/>
      <c r="AL123" s="10"/>
      <c r="AM123" s="10"/>
      <c r="AN123" s="10"/>
      <c r="AO123" s="10"/>
      <c r="AP123" s="10"/>
      <c r="AR123" s="32"/>
      <c r="AT123" s="10"/>
      <c r="AU123" s="10"/>
      <c r="AV123" s="10"/>
      <c r="AW123" s="10"/>
      <c r="AY123" s="32"/>
    </row>
    <row r="124" spans="2:51" x14ac:dyDescent="0.6">
      <c r="B124" s="18"/>
      <c r="C124" s="18"/>
      <c r="D124" s="18"/>
      <c r="E124" s="18"/>
      <c r="F124" s="18"/>
      <c r="G124" s="18"/>
      <c r="H124" s="18"/>
      <c r="I124" s="27"/>
      <c r="J124" s="27"/>
      <c r="K124" s="28"/>
      <c r="L124" s="28"/>
      <c r="M124" s="18"/>
      <c r="N124" s="29"/>
      <c r="O124" s="29"/>
      <c r="P124" s="29"/>
      <c r="Q124" s="18"/>
      <c r="R124" s="18"/>
      <c r="S124" s="18"/>
      <c r="T124" s="18"/>
      <c r="U124" s="28"/>
      <c r="V124" s="18"/>
      <c r="W124" s="18"/>
      <c r="X124" s="18"/>
      <c r="Z124" s="10"/>
      <c r="AA124" s="30"/>
      <c r="AB124" s="30"/>
      <c r="AC124" s="10"/>
      <c r="AD124" s="31"/>
      <c r="AE124" s="31"/>
      <c r="AG124" s="32"/>
      <c r="AI124" s="10"/>
      <c r="AJ124" s="10"/>
      <c r="AK124" s="10"/>
      <c r="AL124" s="10"/>
      <c r="AM124" s="10"/>
      <c r="AN124" s="10"/>
      <c r="AO124" s="10"/>
      <c r="AP124" s="10"/>
      <c r="AR124" s="32"/>
      <c r="AT124" s="10"/>
      <c r="AU124" s="10"/>
      <c r="AV124" s="10"/>
      <c r="AW124" s="10"/>
      <c r="AY124" s="32"/>
    </row>
    <row r="125" spans="2:51" x14ac:dyDescent="0.6">
      <c r="B125" s="18"/>
      <c r="C125" s="18"/>
      <c r="D125" s="18"/>
      <c r="E125" s="18"/>
      <c r="F125" s="18"/>
      <c r="G125" s="18"/>
      <c r="H125" s="18"/>
      <c r="I125" s="27"/>
      <c r="J125" s="27"/>
      <c r="K125" s="28"/>
      <c r="L125" s="28"/>
      <c r="M125" s="18"/>
      <c r="N125" s="29"/>
      <c r="O125" s="29"/>
      <c r="P125" s="29"/>
      <c r="Q125" s="18"/>
      <c r="R125" s="18"/>
      <c r="S125" s="18"/>
      <c r="T125" s="18"/>
      <c r="U125" s="28"/>
      <c r="V125" s="18"/>
      <c r="W125" s="18"/>
      <c r="X125" s="18"/>
      <c r="Z125" s="10"/>
      <c r="AA125" s="30"/>
      <c r="AB125" s="30"/>
      <c r="AC125" s="10"/>
      <c r="AD125" s="31"/>
      <c r="AE125" s="31"/>
      <c r="AG125" s="32"/>
      <c r="AI125" s="10"/>
      <c r="AJ125" s="10"/>
      <c r="AK125" s="10"/>
      <c r="AL125" s="10"/>
      <c r="AM125" s="10"/>
      <c r="AN125" s="10"/>
      <c r="AO125" s="10"/>
      <c r="AP125" s="10"/>
      <c r="AR125" s="32"/>
      <c r="AT125" s="10"/>
      <c r="AU125" s="10"/>
      <c r="AV125" s="10"/>
      <c r="AW125" s="10"/>
      <c r="AY125" s="32"/>
    </row>
    <row r="126" spans="2:51" x14ac:dyDescent="0.6">
      <c r="B126" s="18"/>
      <c r="C126" s="18"/>
      <c r="D126" s="18"/>
      <c r="E126" s="18"/>
      <c r="F126" s="18"/>
      <c r="G126" s="18"/>
      <c r="H126" s="18"/>
      <c r="I126" s="27"/>
      <c r="J126" s="27"/>
      <c r="K126" s="28"/>
      <c r="L126" s="28"/>
      <c r="M126" s="18"/>
      <c r="N126" s="29"/>
      <c r="O126" s="29"/>
      <c r="P126" s="29"/>
      <c r="Q126" s="18"/>
      <c r="R126" s="18"/>
      <c r="S126" s="18"/>
      <c r="T126" s="18"/>
      <c r="U126" s="28"/>
      <c r="V126" s="18"/>
      <c r="W126" s="18"/>
      <c r="X126" s="18"/>
      <c r="Z126" s="10"/>
      <c r="AA126" s="30"/>
      <c r="AB126" s="30"/>
      <c r="AC126" s="10"/>
      <c r="AD126" s="31"/>
      <c r="AE126" s="31"/>
      <c r="AG126" s="32"/>
      <c r="AI126" s="10"/>
      <c r="AJ126" s="10"/>
      <c r="AK126" s="10"/>
      <c r="AL126" s="10"/>
      <c r="AM126" s="10"/>
      <c r="AN126" s="10"/>
      <c r="AO126" s="10"/>
      <c r="AP126" s="10"/>
      <c r="AR126" s="32"/>
      <c r="AT126" s="10"/>
      <c r="AU126" s="10"/>
      <c r="AV126" s="10"/>
      <c r="AW126" s="10"/>
      <c r="AY126" s="32"/>
    </row>
    <row r="127" spans="2:51" x14ac:dyDescent="0.6">
      <c r="B127" s="18"/>
      <c r="C127" s="18"/>
      <c r="D127" s="18"/>
      <c r="E127" s="18"/>
      <c r="F127" s="18"/>
      <c r="G127" s="18"/>
      <c r="H127" s="18"/>
      <c r="I127" s="27"/>
      <c r="J127" s="27"/>
      <c r="K127" s="28"/>
      <c r="L127" s="28"/>
      <c r="M127" s="18"/>
      <c r="N127" s="29"/>
      <c r="O127" s="29"/>
      <c r="P127" s="29"/>
      <c r="Q127" s="18"/>
      <c r="R127" s="18"/>
      <c r="S127" s="18"/>
      <c r="T127" s="18"/>
      <c r="U127" s="28"/>
      <c r="V127" s="18"/>
      <c r="W127" s="18"/>
      <c r="X127" s="18"/>
      <c r="Z127" s="10"/>
      <c r="AA127" s="30"/>
      <c r="AB127" s="30"/>
      <c r="AC127" s="10"/>
      <c r="AD127" s="31"/>
      <c r="AE127" s="31"/>
      <c r="AG127" s="32"/>
      <c r="AI127" s="10"/>
      <c r="AJ127" s="10"/>
      <c r="AK127" s="10"/>
      <c r="AL127" s="10"/>
      <c r="AM127" s="10"/>
      <c r="AN127" s="10"/>
      <c r="AO127" s="10"/>
      <c r="AP127" s="10"/>
      <c r="AR127" s="32"/>
      <c r="AT127" s="10"/>
      <c r="AU127" s="10"/>
      <c r="AV127" s="10"/>
      <c r="AW127" s="10"/>
      <c r="AY127" s="32"/>
    </row>
    <row r="128" spans="2:51" x14ac:dyDescent="0.6">
      <c r="B128" s="18"/>
      <c r="C128" s="18"/>
      <c r="D128" s="18"/>
      <c r="E128" s="18"/>
      <c r="F128" s="18"/>
      <c r="G128" s="18"/>
      <c r="H128" s="18"/>
      <c r="I128" s="27"/>
      <c r="J128" s="27"/>
      <c r="K128" s="28"/>
      <c r="L128" s="28"/>
      <c r="M128" s="18"/>
      <c r="N128" s="29"/>
      <c r="O128" s="29"/>
      <c r="P128" s="29"/>
      <c r="Q128" s="18"/>
      <c r="R128" s="18"/>
      <c r="S128" s="18"/>
      <c r="T128" s="18"/>
      <c r="U128" s="28"/>
      <c r="V128" s="18"/>
      <c r="W128" s="18"/>
      <c r="X128" s="18"/>
      <c r="Z128" s="10"/>
      <c r="AA128" s="30"/>
      <c r="AB128" s="30"/>
      <c r="AC128" s="10"/>
      <c r="AD128" s="31"/>
      <c r="AE128" s="31"/>
      <c r="AG128" s="32"/>
      <c r="AI128" s="10"/>
      <c r="AJ128" s="10"/>
      <c r="AK128" s="10"/>
      <c r="AL128" s="10"/>
      <c r="AM128" s="10"/>
      <c r="AN128" s="10"/>
      <c r="AO128" s="10"/>
      <c r="AP128" s="10"/>
      <c r="AR128" s="32"/>
      <c r="AT128" s="10"/>
      <c r="AU128" s="10"/>
      <c r="AV128" s="10"/>
      <c r="AW128" s="10"/>
      <c r="AY128" s="32"/>
    </row>
    <row r="129" spans="2:51" x14ac:dyDescent="0.6">
      <c r="B129" s="18"/>
      <c r="C129" s="18"/>
      <c r="D129" s="18"/>
      <c r="E129" s="18"/>
      <c r="F129" s="18"/>
      <c r="G129" s="18"/>
      <c r="H129" s="18"/>
      <c r="I129" s="27"/>
      <c r="J129" s="27"/>
      <c r="K129" s="28"/>
      <c r="L129" s="28"/>
      <c r="M129" s="18"/>
      <c r="N129" s="29"/>
      <c r="O129" s="29"/>
      <c r="P129" s="29"/>
      <c r="Q129" s="18"/>
      <c r="R129" s="18"/>
      <c r="S129" s="18"/>
      <c r="T129" s="18"/>
      <c r="U129" s="28"/>
      <c r="V129" s="18"/>
      <c r="W129" s="18"/>
      <c r="X129" s="18"/>
      <c r="Z129" s="10"/>
      <c r="AA129" s="30"/>
      <c r="AB129" s="30"/>
      <c r="AC129" s="10"/>
      <c r="AD129" s="31"/>
      <c r="AE129" s="31"/>
      <c r="AG129" s="32"/>
      <c r="AI129" s="10"/>
      <c r="AJ129" s="10"/>
      <c r="AK129" s="10"/>
      <c r="AL129" s="10"/>
      <c r="AM129" s="10"/>
      <c r="AN129" s="10"/>
      <c r="AO129" s="10"/>
      <c r="AP129" s="10"/>
      <c r="AR129" s="32"/>
      <c r="AT129" s="10"/>
      <c r="AU129" s="10"/>
      <c r="AV129" s="10"/>
      <c r="AW129" s="10"/>
      <c r="AY129" s="32"/>
    </row>
    <row r="130" spans="2:51" x14ac:dyDescent="0.6">
      <c r="B130" s="18"/>
      <c r="C130" s="18"/>
      <c r="D130" s="18"/>
      <c r="E130" s="18"/>
      <c r="F130" s="18"/>
      <c r="G130" s="18"/>
      <c r="H130" s="18"/>
      <c r="I130" s="27"/>
      <c r="J130" s="27"/>
      <c r="K130" s="28"/>
      <c r="L130" s="28"/>
      <c r="M130" s="18"/>
      <c r="N130" s="29"/>
      <c r="O130" s="29"/>
      <c r="P130" s="29"/>
      <c r="Q130" s="18"/>
      <c r="R130" s="18"/>
      <c r="S130" s="18"/>
      <c r="T130" s="18"/>
      <c r="U130" s="28"/>
      <c r="V130" s="18"/>
      <c r="W130" s="18"/>
      <c r="X130" s="18"/>
      <c r="Z130" s="10"/>
      <c r="AA130" s="30"/>
      <c r="AB130" s="30"/>
      <c r="AC130" s="10"/>
      <c r="AD130" s="31"/>
      <c r="AE130" s="31"/>
      <c r="AG130" s="32"/>
      <c r="AI130" s="10"/>
      <c r="AJ130" s="10"/>
      <c r="AK130" s="10"/>
      <c r="AL130" s="10"/>
      <c r="AM130" s="10"/>
      <c r="AN130" s="10"/>
      <c r="AO130" s="10"/>
      <c r="AP130" s="10"/>
      <c r="AR130" s="32"/>
      <c r="AT130" s="10"/>
      <c r="AU130" s="10"/>
      <c r="AV130" s="10"/>
      <c r="AW130" s="10"/>
      <c r="AY130" s="32"/>
    </row>
    <row r="131" spans="2:51" x14ac:dyDescent="0.6">
      <c r="B131" s="18"/>
      <c r="C131" s="18"/>
      <c r="D131" s="18"/>
      <c r="E131" s="18"/>
      <c r="F131" s="18"/>
      <c r="G131" s="18"/>
      <c r="H131" s="18"/>
      <c r="I131" s="27"/>
      <c r="J131" s="27"/>
      <c r="K131" s="28"/>
      <c r="L131" s="28"/>
      <c r="M131" s="18"/>
      <c r="N131" s="29"/>
      <c r="O131" s="29"/>
      <c r="P131" s="29"/>
      <c r="Q131" s="18"/>
      <c r="R131" s="18"/>
      <c r="S131" s="18"/>
      <c r="T131" s="18"/>
      <c r="U131" s="28"/>
      <c r="V131" s="18"/>
      <c r="W131" s="18"/>
      <c r="X131" s="18"/>
      <c r="Z131" s="10"/>
      <c r="AA131" s="30"/>
      <c r="AB131" s="30"/>
      <c r="AC131" s="10"/>
      <c r="AD131" s="31"/>
      <c r="AE131" s="31"/>
      <c r="AG131" s="32"/>
      <c r="AI131" s="10"/>
      <c r="AJ131" s="10"/>
      <c r="AK131" s="10"/>
      <c r="AL131" s="10"/>
      <c r="AM131" s="10"/>
      <c r="AN131" s="10"/>
      <c r="AO131" s="10"/>
      <c r="AP131" s="10"/>
      <c r="AR131" s="32"/>
      <c r="AT131" s="10"/>
      <c r="AU131" s="10"/>
      <c r="AV131" s="10"/>
      <c r="AW131" s="10"/>
      <c r="AY131" s="32"/>
    </row>
    <row r="132" spans="2:51" x14ac:dyDescent="0.6">
      <c r="B132" s="18"/>
      <c r="C132" s="18"/>
      <c r="D132" s="18"/>
      <c r="E132" s="18"/>
      <c r="F132" s="18"/>
      <c r="G132" s="18"/>
      <c r="H132" s="18"/>
      <c r="I132" s="27"/>
      <c r="J132" s="27"/>
      <c r="K132" s="28"/>
      <c r="L132" s="28"/>
      <c r="M132" s="18"/>
      <c r="N132" s="29"/>
      <c r="O132" s="29"/>
      <c r="P132" s="29"/>
      <c r="Q132" s="18"/>
      <c r="R132" s="18"/>
      <c r="S132" s="18"/>
      <c r="T132" s="18"/>
      <c r="U132" s="28"/>
      <c r="V132" s="18"/>
      <c r="W132" s="18"/>
      <c r="X132" s="18"/>
      <c r="Z132" s="10"/>
      <c r="AA132" s="30"/>
      <c r="AB132" s="30"/>
      <c r="AC132" s="10"/>
      <c r="AD132" s="31"/>
      <c r="AE132" s="31"/>
      <c r="AG132" s="32"/>
      <c r="AI132" s="10"/>
      <c r="AJ132" s="10"/>
      <c r="AK132" s="10"/>
      <c r="AL132" s="10"/>
      <c r="AM132" s="10"/>
      <c r="AN132" s="10"/>
      <c r="AO132" s="10"/>
      <c r="AP132" s="10"/>
      <c r="AR132" s="32"/>
      <c r="AT132" s="10"/>
      <c r="AU132" s="10"/>
      <c r="AV132" s="10"/>
      <c r="AW132" s="10"/>
      <c r="AY132" s="32"/>
    </row>
    <row r="133" spans="2:51" x14ac:dyDescent="0.6">
      <c r="B133" s="18"/>
      <c r="C133" s="18"/>
      <c r="D133" s="18"/>
      <c r="E133" s="18"/>
      <c r="F133" s="18"/>
      <c r="G133" s="18"/>
      <c r="H133" s="18"/>
      <c r="I133" s="27"/>
      <c r="J133" s="27"/>
      <c r="K133" s="28"/>
      <c r="L133" s="28"/>
      <c r="M133" s="18"/>
      <c r="N133" s="29"/>
      <c r="O133" s="29"/>
      <c r="P133" s="29"/>
      <c r="Q133" s="18"/>
      <c r="R133" s="18"/>
      <c r="S133" s="18"/>
      <c r="T133" s="18"/>
      <c r="U133" s="28"/>
      <c r="V133" s="18"/>
      <c r="W133" s="18"/>
      <c r="X133" s="18"/>
      <c r="Z133" s="10"/>
      <c r="AA133" s="30"/>
      <c r="AB133" s="30"/>
      <c r="AC133" s="10"/>
      <c r="AD133" s="31"/>
      <c r="AE133" s="31"/>
      <c r="AG133" s="32"/>
      <c r="AI133" s="10"/>
      <c r="AJ133" s="10"/>
      <c r="AK133" s="10"/>
      <c r="AL133" s="10"/>
      <c r="AM133" s="10"/>
      <c r="AN133" s="10"/>
      <c r="AO133" s="10"/>
      <c r="AP133" s="10"/>
      <c r="AR133" s="32"/>
      <c r="AT133" s="10"/>
      <c r="AU133" s="10"/>
      <c r="AV133" s="10"/>
      <c r="AW133" s="10"/>
      <c r="AY133" s="32"/>
    </row>
    <row r="134" spans="2:51" x14ac:dyDescent="0.6">
      <c r="B134" s="18"/>
      <c r="C134" s="18"/>
      <c r="D134" s="18"/>
      <c r="E134" s="18"/>
      <c r="F134" s="18"/>
      <c r="G134" s="18"/>
      <c r="H134" s="18"/>
      <c r="I134" s="27"/>
      <c r="J134" s="27"/>
      <c r="K134" s="28"/>
      <c r="L134" s="28"/>
      <c r="M134" s="18"/>
      <c r="N134" s="29"/>
      <c r="O134" s="29"/>
      <c r="P134" s="29"/>
      <c r="Q134" s="18"/>
      <c r="R134" s="18"/>
      <c r="S134" s="18"/>
      <c r="T134" s="18"/>
      <c r="U134" s="28"/>
      <c r="V134" s="18"/>
      <c r="W134" s="18"/>
      <c r="X134" s="18"/>
      <c r="Z134" s="10"/>
      <c r="AA134" s="30"/>
      <c r="AB134" s="30"/>
      <c r="AC134" s="10"/>
      <c r="AD134" s="31"/>
      <c r="AE134" s="31"/>
      <c r="AG134" s="32"/>
      <c r="AI134" s="10"/>
      <c r="AJ134" s="10"/>
      <c r="AK134" s="10"/>
      <c r="AL134" s="10"/>
      <c r="AM134" s="10"/>
      <c r="AN134" s="10"/>
      <c r="AO134" s="10"/>
      <c r="AP134" s="10"/>
      <c r="AR134" s="32"/>
      <c r="AT134" s="10"/>
      <c r="AU134" s="10"/>
      <c r="AV134" s="10"/>
      <c r="AW134" s="10"/>
      <c r="AY134" s="32"/>
    </row>
    <row r="135" spans="2:51" x14ac:dyDescent="0.6">
      <c r="B135" s="18"/>
      <c r="C135" s="18"/>
      <c r="D135" s="18"/>
      <c r="E135" s="18"/>
      <c r="F135" s="18"/>
      <c r="G135" s="18"/>
      <c r="H135" s="18"/>
      <c r="I135" s="27"/>
      <c r="J135" s="27"/>
      <c r="K135" s="28"/>
      <c r="L135" s="28"/>
      <c r="M135" s="18"/>
      <c r="N135" s="29"/>
      <c r="O135" s="29"/>
      <c r="P135" s="29"/>
      <c r="Q135" s="18"/>
      <c r="R135" s="18"/>
      <c r="S135" s="18"/>
      <c r="T135" s="18"/>
      <c r="U135" s="28"/>
      <c r="V135" s="18"/>
      <c r="W135" s="18"/>
      <c r="X135" s="18"/>
      <c r="Z135" s="10"/>
      <c r="AA135" s="30"/>
      <c r="AB135" s="30"/>
      <c r="AC135" s="10"/>
      <c r="AD135" s="31"/>
      <c r="AE135" s="31"/>
      <c r="AG135" s="32"/>
      <c r="AI135" s="10"/>
      <c r="AJ135" s="10"/>
      <c r="AK135" s="10"/>
      <c r="AL135" s="10"/>
      <c r="AM135" s="10"/>
      <c r="AN135" s="10"/>
      <c r="AO135" s="10"/>
      <c r="AP135" s="10"/>
      <c r="AR135" s="32"/>
      <c r="AT135" s="10"/>
      <c r="AU135" s="10"/>
      <c r="AV135" s="10"/>
      <c r="AW135" s="10"/>
      <c r="AY135" s="32"/>
    </row>
    <row r="136" spans="2:51" x14ac:dyDescent="0.6">
      <c r="B136" s="18"/>
      <c r="C136" s="18"/>
      <c r="D136" s="18"/>
      <c r="E136" s="18"/>
      <c r="F136" s="18"/>
      <c r="G136" s="18"/>
      <c r="H136" s="18"/>
      <c r="I136" s="27"/>
      <c r="J136" s="27"/>
      <c r="K136" s="28"/>
      <c r="L136" s="28"/>
      <c r="M136" s="18"/>
      <c r="N136" s="29"/>
      <c r="O136" s="29"/>
      <c r="P136" s="29"/>
      <c r="Q136" s="18"/>
      <c r="R136" s="18"/>
      <c r="S136" s="18"/>
      <c r="T136" s="18"/>
      <c r="U136" s="28"/>
      <c r="V136" s="18"/>
      <c r="W136" s="18"/>
      <c r="X136" s="18"/>
      <c r="Z136" s="10"/>
      <c r="AA136" s="30"/>
      <c r="AB136" s="30"/>
      <c r="AC136" s="10"/>
      <c r="AD136" s="31"/>
      <c r="AE136" s="31"/>
      <c r="AG136" s="32"/>
      <c r="AI136" s="10"/>
      <c r="AJ136" s="10"/>
      <c r="AK136" s="10"/>
      <c r="AL136" s="10"/>
      <c r="AM136" s="10"/>
      <c r="AN136" s="10"/>
      <c r="AO136" s="10"/>
      <c r="AP136" s="10"/>
      <c r="AR136" s="32"/>
      <c r="AT136" s="10"/>
      <c r="AU136" s="10"/>
      <c r="AV136" s="10"/>
      <c r="AW136" s="10"/>
      <c r="AY136" s="32"/>
    </row>
    <row r="137" spans="2:51" x14ac:dyDescent="0.6">
      <c r="B137" s="18"/>
      <c r="C137" s="18"/>
      <c r="D137" s="18"/>
      <c r="E137" s="18"/>
      <c r="F137" s="18"/>
      <c r="G137" s="18"/>
      <c r="H137" s="18"/>
      <c r="I137" s="27"/>
      <c r="J137" s="27"/>
      <c r="K137" s="28"/>
      <c r="L137" s="28"/>
      <c r="M137" s="18"/>
      <c r="N137" s="29"/>
      <c r="O137" s="29"/>
      <c r="P137" s="29"/>
      <c r="Q137" s="18"/>
      <c r="R137" s="18"/>
      <c r="S137" s="18"/>
      <c r="T137" s="18"/>
      <c r="U137" s="28"/>
      <c r="V137" s="18"/>
      <c r="W137" s="18"/>
      <c r="X137" s="18"/>
      <c r="Z137" s="10"/>
      <c r="AA137" s="30"/>
      <c r="AB137" s="30"/>
      <c r="AC137" s="10"/>
      <c r="AD137" s="31"/>
      <c r="AE137" s="31"/>
      <c r="AG137" s="32"/>
      <c r="AI137" s="10"/>
      <c r="AJ137" s="10"/>
      <c r="AK137" s="10"/>
      <c r="AL137" s="10"/>
      <c r="AM137" s="10"/>
      <c r="AN137" s="10"/>
      <c r="AO137" s="10"/>
      <c r="AP137" s="10"/>
      <c r="AR137" s="32"/>
      <c r="AT137" s="10"/>
      <c r="AU137" s="10"/>
      <c r="AV137" s="10"/>
      <c r="AW137" s="10"/>
      <c r="AY137" s="32"/>
    </row>
    <row r="138" spans="2:51" x14ac:dyDescent="0.6">
      <c r="B138" s="18"/>
      <c r="C138" s="18"/>
      <c r="D138" s="18"/>
      <c r="E138" s="18"/>
      <c r="F138" s="18"/>
      <c r="G138" s="18"/>
      <c r="H138" s="18"/>
      <c r="I138" s="27"/>
      <c r="J138" s="27"/>
      <c r="K138" s="28"/>
      <c r="L138" s="28"/>
      <c r="M138" s="18"/>
      <c r="N138" s="29"/>
      <c r="O138" s="29"/>
      <c r="P138" s="29"/>
      <c r="Q138" s="18"/>
      <c r="R138" s="18"/>
      <c r="S138" s="18"/>
      <c r="T138" s="18"/>
      <c r="U138" s="28"/>
      <c r="V138" s="18"/>
      <c r="W138" s="18"/>
      <c r="X138" s="18"/>
      <c r="Z138" s="10"/>
      <c r="AA138" s="30"/>
      <c r="AB138" s="30"/>
      <c r="AC138" s="10"/>
      <c r="AD138" s="31"/>
      <c r="AE138" s="31"/>
      <c r="AG138" s="32"/>
      <c r="AI138" s="10"/>
      <c r="AJ138" s="10"/>
      <c r="AK138" s="10"/>
      <c r="AL138" s="10"/>
      <c r="AM138" s="10"/>
      <c r="AN138" s="10"/>
      <c r="AO138" s="10"/>
      <c r="AP138" s="10"/>
      <c r="AR138" s="32"/>
      <c r="AT138" s="10"/>
      <c r="AU138" s="10"/>
      <c r="AV138" s="10"/>
      <c r="AW138" s="10"/>
      <c r="AY138" s="32"/>
    </row>
    <row r="139" spans="2:51" x14ac:dyDescent="0.6">
      <c r="B139" s="18"/>
      <c r="C139" s="18"/>
      <c r="D139" s="18"/>
      <c r="E139" s="18"/>
      <c r="F139" s="18"/>
      <c r="G139" s="18"/>
      <c r="H139" s="18"/>
      <c r="I139" s="27"/>
      <c r="J139" s="27"/>
      <c r="K139" s="28"/>
      <c r="L139" s="28"/>
      <c r="M139" s="18"/>
      <c r="N139" s="29"/>
      <c r="O139" s="29"/>
      <c r="P139" s="29"/>
      <c r="Q139" s="18"/>
      <c r="R139" s="18"/>
      <c r="S139" s="18"/>
      <c r="T139" s="18"/>
      <c r="U139" s="28"/>
      <c r="V139" s="18"/>
      <c r="W139" s="18"/>
      <c r="X139" s="18"/>
      <c r="Z139" s="10"/>
      <c r="AA139" s="30"/>
      <c r="AB139" s="30"/>
      <c r="AC139" s="10"/>
      <c r="AD139" s="31"/>
      <c r="AE139" s="31"/>
      <c r="AG139" s="32"/>
      <c r="AI139" s="10"/>
      <c r="AJ139" s="10"/>
      <c r="AK139" s="10"/>
      <c r="AL139" s="10"/>
      <c r="AM139" s="10"/>
      <c r="AN139" s="10"/>
      <c r="AO139" s="10"/>
      <c r="AP139" s="10"/>
      <c r="AR139" s="32"/>
      <c r="AT139" s="10"/>
      <c r="AU139" s="10"/>
      <c r="AV139" s="10"/>
      <c r="AW139" s="10"/>
      <c r="AY139" s="32"/>
    </row>
    <row r="140" spans="2:51" x14ac:dyDescent="0.6">
      <c r="B140" s="18"/>
      <c r="C140" s="18"/>
      <c r="D140" s="18"/>
      <c r="E140" s="18"/>
      <c r="F140" s="18"/>
      <c r="G140" s="18"/>
      <c r="H140" s="18"/>
      <c r="I140" s="27"/>
      <c r="J140" s="27"/>
      <c r="K140" s="28"/>
      <c r="L140" s="28"/>
      <c r="M140" s="18"/>
      <c r="N140" s="29"/>
      <c r="O140" s="29"/>
      <c r="P140" s="29"/>
      <c r="Q140" s="18"/>
      <c r="R140" s="18"/>
      <c r="S140" s="18"/>
      <c r="T140" s="18"/>
      <c r="U140" s="28"/>
      <c r="V140" s="18"/>
      <c r="W140" s="18"/>
      <c r="X140" s="18"/>
      <c r="Z140" s="10"/>
      <c r="AA140" s="30"/>
      <c r="AB140" s="30"/>
      <c r="AC140" s="10"/>
      <c r="AD140" s="31"/>
      <c r="AE140" s="31"/>
      <c r="AG140" s="32"/>
      <c r="AI140" s="10"/>
      <c r="AJ140" s="10"/>
      <c r="AK140" s="10"/>
      <c r="AL140" s="10"/>
      <c r="AM140" s="10"/>
      <c r="AN140" s="10"/>
      <c r="AO140" s="10"/>
      <c r="AP140" s="10"/>
      <c r="AR140" s="32"/>
      <c r="AT140" s="10"/>
      <c r="AU140" s="10"/>
      <c r="AV140" s="10"/>
      <c r="AW140" s="10"/>
      <c r="AY140" s="32"/>
    </row>
    <row r="141" spans="2:51" x14ac:dyDescent="0.6">
      <c r="B141" s="18"/>
      <c r="C141" s="18"/>
      <c r="D141" s="18"/>
      <c r="E141" s="18"/>
      <c r="F141" s="18"/>
      <c r="G141" s="18"/>
      <c r="H141" s="18"/>
      <c r="I141" s="27"/>
      <c r="J141" s="27"/>
      <c r="K141" s="28"/>
      <c r="L141" s="28"/>
      <c r="M141" s="18"/>
      <c r="N141" s="29"/>
      <c r="O141" s="29"/>
      <c r="P141" s="29"/>
      <c r="Q141" s="18"/>
      <c r="R141" s="18"/>
      <c r="S141" s="18"/>
      <c r="T141" s="18"/>
      <c r="U141" s="28"/>
      <c r="V141" s="18"/>
      <c r="W141" s="18"/>
      <c r="X141" s="18"/>
      <c r="Z141" s="10"/>
      <c r="AA141" s="30"/>
      <c r="AB141" s="30"/>
      <c r="AC141" s="10"/>
      <c r="AD141" s="31"/>
      <c r="AE141" s="31"/>
      <c r="AG141" s="32"/>
      <c r="AI141" s="10"/>
      <c r="AJ141" s="10"/>
      <c r="AK141" s="10"/>
      <c r="AL141" s="10"/>
      <c r="AM141" s="10"/>
      <c r="AN141" s="10"/>
      <c r="AO141" s="10"/>
      <c r="AP141" s="10"/>
      <c r="AR141" s="32"/>
      <c r="AT141" s="10"/>
      <c r="AU141" s="10"/>
      <c r="AV141" s="10"/>
      <c r="AW141" s="10"/>
      <c r="AY141" s="32"/>
    </row>
    <row r="142" spans="2:51" x14ac:dyDescent="0.6">
      <c r="B142" s="18"/>
      <c r="C142" s="18"/>
      <c r="D142" s="18"/>
      <c r="E142" s="18"/>
      <c r="F142" s="18"/>
      <c r="G142" s="18"/>
      <c r="H142" s="18"/>
      <c r="I142" s="27"/>
      <c r="J142" s="27"/>
      <c r="K142" s="28"/>
      <c r="L142" s="28"/>
      <c r="M142" s="18"/>
      <c r="N142" s="29"/>
      <c r="O142" s="29"/>
      <c r="P142" s="29"/>
      <c r="Q142" s="18"/>
      <c r="R142" s="18"/>
      <c r="S142" s="18"/>
      <c r="T142" s="18"/>
      <c r="U142" s="28"/>
      <c r="V142" s="18"/>
      <c r="W142" s="18"/>
      <c r="X142" s="18"/>
      <c r="Z142" s="10"/>
      <c r="AA142" s="30"/>
      <c r="AB142" s="30"/>
      <c r="AC142" s="10"/>
      <c r="AD142" s="31"/>
      <c r="AE142" s="31"/>
      <c r="AG142" s="32"/>
      <c r="AI142" s="10"/>
      <c r="AJ142" s="10"/>
      <c r="AK142" s="10"/>
      <c r="AL142" s="10"/>
      <c r="AM142" s="10"/>
      <c r="AN142" s="10"/>
      <c r="AO142" s="10"/>
      <c r="AP142" s="10"/>
      <c r="AR142" s="32"/>
      <c r="AT142" s="10"/>
      <c r="AU142" s="10"/>
      <c r="AV142" s="10"/>
      <c r="AW142" s="10"/>
      <c r="AY142" s="32"/>
    </row>
    <row r="143" spans="2:51" x14ac:dyDescent="0.6">
      <c r="B143" s="18"/>
      <c r="C143" s="18"/>
      <c r="D143" s="18"/>
      <c r="E143" s="18"/>
      <c r="F143" s="18"/>
      <c r="G143" s="18"/>
      <c r="H143" s="18"/>
      <c r="I143" s="27"/>
      <c r="J143" s="27"/>
      <c r="K143" s="28"/>
      <c r="L143" s="28"/>
      <c r="M143" s="18"/>
      <c r="N143" s="29"/>
      <c r="O143" s="29"/>
      <c r="P143" s="29"/>
      <c r="Q143" s="18"/>
      <c r="R143" s="18"/>
      <c r="S143" s="18"/>
      <c r="T143" s="18"/>
      <c r="U143" s="28"/>
      <c r="V143" s="18"/>
      <c r="W143" s="18"/>
      <c r="X143" s="18"/>
      <c r="Z143" s="10"/>
      <c r="AA143" s="30"/>
      <c r="AB143" s="30"/>
      <c r="AC143" s="10"/>
      <c r="AD143" s="31"/>
      <c r="AE143" s="31"/>
      <c r="AG143" s="32"/>
      <c r="AI143" s="10"/>
      <c r="AJ143" s="10"/>
      <c r="AK143" s="10"/>
      <c r="AL143" s="10"/>
      <c r="AM143" s="10"/>
      <c r="AN143" s="10"/>
      <c r="AO143" s="10"/>
      <c r="AP143" s="10"/>
      <c r="AR143" s="32"/>
      <c r="AT143" s="10"/>
      <c r="AU143" s="10"/>
      <c r="AV143" s="10"/>
      <c r="AW143" s="10"/>
      <c r="AY143" s="32"/>
    </row>
    <row r="144" spans="2:51" x14ac:dyDescent="0.6">
      <c r="B144" s="18"/>
      <c r="C144" s="18"/>
      <c r="D144" s="18"/>
      <c r="E144" s="18"/>
      <c r="F144" s="18"/>
      <c r="G144" s="18"/>
      <c r="H144" s="18"/>
      <c r="I144" s="27"/>
      <c r="J144" s="27"/>
      <c r="K144" s="28"/>
      <c r="L144" s="28"/>
      <c r="M144" s="18"/>
      <c r="N144" s="29"/>
      <c r="O144" s="29"/>
      <c r="P144" s="29"/>
      <c r="Q144" s="18"/>
      <c r="R144" s="18"/>
      <c r="S144" s="18"/>
      <c r="T144" s="18"/>
      <c r="U144" s="28"/>
      <c r="V144" s="18"/>
      <c r="W144" s="18"/>
      <c r="X144" s="18"/>
      <c r="Z144" s="10"/>
      <c r="AA144" s="30"/>
      <c r="AB144" s="30"/>
      <c r="AC144" s="10"/>
      <c r="AD144" s="31"/>
      <c r="AE144" s="31"/>
      <c r="AG144" s="32"/>
      <c r="AI144" s="10"/>
      <c r="AJ144" s="10"/>
      <c r="AK144" s="10"/>
      <c r="AL144" s="10"/>
      <c r="AM144" s="10"/>
      <c r="AN144" s="10"/>
      <c r="AO144" s="10"/>
      <c r="AP144" s="10"/>
      <c r="AR144" s="32"/>
      <c r="AT144" s="10"/>
      <c r="AU144" s="10"/>
      <c r="AV144" s="10"/>
      <c r="AW144" s="10"/>
      <c r="AY144" s="32"/>
    </row>
    <row r="145" spans="2:51" x14ac:dyDescent="0.6">
      <c r="B145" s="18"/>
      <c r="C145" s="18"/>
      <c r="D145" s="18"/>
      <c r="E145" s="18"/>
      <c r="F145" s="18"/>
      <c r="G145" s="18"/>
      <c r="H145" s="18"/>
      <c r="I145" s="27"/>
      <c r="J145" s="27"/>
      <c r="K145" s="28"/>
      <c r="L145" s="28"/>
      <c r="M145" s="18"/>
      <c r="N145" s="29"/>
      <c r="O145" s="29"/>
      <c r="P145" s="29"/>
      <c r="Q145" s="18"/>
      <c r="R145" s="18"/>
      <c r="S145" s="18"/>
      <c r="T145" s="18"/>
      <c r="U145" s="28"/>
      <c r="V145" s="18"/>
      <c r="W145" s="18"/>
      <c r="X145" s="18"/>
      <c r="Z145" s="10"/>
      <c r="AA145" s="30"/>
      <c r="AB145" s="30"/>
      <c r="AC145" s="10"/>
      <c r="AD145" s="31"/>
      <c r="AE145" s="31"/>
      <c r="AG145" s="32"/>
      <c r="AI145" s="10"/>
      <c r="AJ145" s="10"/>
      <c r="AK145" s="10"/>
      <c r="AL145" s="10"/>
      <c r="AM145" s="10"/>
      <c r="AN145" s="10"/>
      <c r="AO145" s="10"/>
      <c r="AP145" s="10"/>
      <c r="AR145" s="32"/>
      <c r="AT145" s="10"/>
      <c r="AU145" s="10"/>
      <c r="AV145" s="10"/>
      <c r="AW145" s="10"/>
      <c r="AY145" s="32"/>
    </row>
  </sheetData>
  <mergeCells count="11">
    <mergeCell ref="U7:X7"/>
    <mergeCell ref="AR2:AR3"/>
    <mergeCell ref="AY2:AY3"/>
    <mergeCell ref="AR4:AR5"/>
    <mergeCell ref="AY4:AY5"/>
    <mergeCell ref="Q7:T7"/>
    <mergeCell ref="D5:E5"/>
    <mergeCell ref="B7:F7"/>
    <mergeCell ref="G7:H7"/>
    <mergeCell ref="I7:L7"/>
    <mergeCell ref="M7:P7"/>
  </mergeCell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9">
        <x14:dataValidation type="list" allowBlank="1" showInputMessage="1" showErrorMessage="1" xr:uid="{6322E71D-771B-4BB1-8F01-46E1E0587AD7}">
          <x14:formula1>
            <xm:f>'Listen und Kennwerte'!#REF!</xm:f>
          </x14:formula1>
          <xm:sqref>F8:F59</xm:sqref>
        </x14:dataValidation>
        <x14:dataValidation type="list" allowBlank="1" showInputMessage="1" showErrorMessage="1" xr:uid="{1FA6A64C-38A2-4511-BEB6-F7A038A93061}">
          <x14:formula1>
            <xm:f>'Listen und Kennwerte'!#REF!</xm:f>
          </x14:formula1>
          <xm:sqref>E8:E59</xm:sqref>
        </x14:dataValidation>
        <x14:dataValidation type="list" allowBlank="1" showInputMessage="1" showErrorMessage="1" xr:uid="{B32551FD-1111-49AD-9D6B-86BA723035A3}">
          <x14:formula1>
            <xm:f>'Listen und Kennwerte'!#REF!</xm:f>
          </x14:formula1>
          <xm:sqref>D8:D59</xm:sqref>
        </x14:dataValidation>
        <x14:dataValidation type="list" allowBlank="1" showInputMessage="1" showErrorMessage="1" xr:uid="{9F75A33A-42A6-461C-BFD7-BCD8902CBEED}">
          <x14:formula1>
            <xm:f>'Listen und Kennwerte'!#REF!</xm:f>
          </x14:formula1>
          <xm:sqref>G10:G59</xm:sqref>
        </x14:dataValidation>
        <x14:dataValidation type="list" allowBlank="1" showInputMessage="1" showErrorMessage="1" xr:uid="{CAB5879A-EEF4-4EAD-866A-25587F631911}">
          <x14:formula1>
            <xm:f>'Listen und Kennwerte'!#REF!</xm:f>
          </x14:formula1>
          <xm:sqref>Q10:Q59 O3</xm:sqref>
        </x14:dataValidation>
        <x14:dataValidation type="list" allowBlank="1" showInputMessage="1" showErrorMessage="1" xr:uid="{A57EDD7A-A839-4887-9EDC-9EC3C53AD170}">
          <x14:formula1>
            <xm:f>'Listen und Kennwerte'!#REF!</xm:f>
          </x14:formula1>
          <xm:sqref>R10:R59 O4</xm:sqref>
        </x14:dataValidation>
        <x14:dataValidation type="list" allowBlank="1" showInputMessage="1" showErrorMessage="1" xr:uid="{2967B6B7-17F7-44E6-AB45-70865E6FFDA1}">
          <x14:formula1>
            <xm:f>'Listen und Kennwerte'!#REF!</xm:f>
          </x14:formula1>
          <xm:sqref>H10:H59 BH3:BH4 L3</xm:sqref>
        </x14:dataValidation>
        <x14:dataValidation type="list" allowBlank="1" showInputMessage="1" showErrorMessage="1" xr:uid="{F4C79427-17DE-40FC-A41B-F5F7BBE34FC3}">
          <x14:formula1>
            <xm:f>'Listen und Kennwerte'!$Q$4:$Q$8</xm:f>
          </x14:formula1>
          <xm:sqref>M10:M59 L4</xm:sqref>
        </x14:dataValidation>
        <x14:dataValidation type="list" allowBlank="1" showInputMessage="1" showErrorMessage="1" xr:uid="{F5EEBF1A-37EE-4C15-B97A-B87D80E69213}">
          <x14:formula1>
            <xm:f>'Listen und Kennwerte'!$S$4:$S$8</xm:f>
          </x14:formula1>
          <xm:sqref>C8:C59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2FF8B1-28E0-4F6B-A73F-6FE1E22121BC}">
  <sheetPr codeName="Sheet8">
    <tabColor theme="1"/>
  </sheetPr>
  <dimension ref="A2:AP111"/>
  <sheetViews>
    <sheetView showGridLines="0" view="pageLayout" zoomScale="115" zoomScaleNormal="100" zoomScalePageLayoutView="115" workbookViewId="0">
      <selection activeCell="E13" sqref="E13"/>
    </sheetView>
  </sheetViews>
  <sheetFormatPr defaultRowHeight="14.4" x14ac:dyDescent="0.55000000000000004"/>
  <cols>
    <col min="1" max="39" width="1.84765625" style="633" customWidth="1"/>
    <col min="40" max="43" width="8.796875" style="633"/>
    <col min="44" max="45" width="8.796875" style="633" customWidth="1"/>
    <col min="46" max="16384" width="8.796875" style="633"/>
  </cols>
  <sheetData>
    <row r="2" spans="1:39" x14ac:dyDescent="0.55000000000000004">
      <c r="A2" s="632" t="s">
        <v>179</v>
      </c>
    </row>
    <row r="3" spans="1:39" x14ac:dyDescent="0.55000000000000004">
      <c r="A3" s="633" t="s">
        <v>15</v>
      </c>
      <c r="Q3" s="633" t="s">
        <v>16</v>
      </c>
      <c r="AC3" s="633" t="s">
        <v>17</v>
      </c>
      <c r="AK3" s="634"/>
    </row>
    <row r="4" spans="1:39" x14ac:dyDescent="0.55000000000000004">
      <c r="A4" s="633" t="s">
        <v>180</v>
      </c>
      <c r="I4" s="635" t="s">
        <v>56</v>
      </c>
      <c r="Q4" s="636" t="s">
        <v>370</v>
      </c>
      <c r="V4" s="636" t="s">
        <v>294</v>
      </c>
    </row>
    <row r="6" spans="1:39" x14ac:dyDescent="0.55000000000000004">
      <c r="A6" s="632" t="s">
        <v>181</v>
      </c>
    </row>
    <row r="7" spans="1:39" x14ac:dyDescent="0.55000000000000004">
      <c r="A7" s="632" t="s">
        <v>182</v>
      </c>
    </row>
    <row r="8" spans="1:39" ht="46.8" customHeight="1" x14ac:dyDescent="0.55000000000000004">
      <c r="A8" s="637" t="s">
        <v>183</v>
      </c>
      <c r="B8" s="637"/>
      <c r="C8" s="637"/>
      <c r="D8" s="637"/>
      <c r="E8" s="637"/>
      <c r="F8" s="637"/>
      <c r="G8" s="637"/>
      <c r="H8" s="637"/>
      <c r="I8" s="637"/>
      <c r="J8" s="637"/>
      <c r="K8" s="637"/>
      <c r="L8" s="637"/>
      <c r="M8" s="637"/>
      <c r="N8" s="637"/>
      <c r="O8" s="637"/>
      <c r="P8" s="637"/>
      <c r="Q8" s="637"/>
      <c r="R8" s="637"/>
      <c r="S8" s="637"/>
      <c r="T8" s="637"/>
      <c r="U8" s="637"/>
      <c r="V8" s="637"/>
      <c r="W8" s="637"/>
      <c r="X8" s="637"/>
      <c r="Y8" s="637"/>
      <c r="Z8" s="637"/>
      <c r="AA8" s="637"/>
      <c r="AB8" s="637"/>
      <c r="AC8" s="637"/>
      <c r="AD8" s="637"/>
      <c r="AE8" s="637"/>
      <c r="AF8" s="637"/>
      <c r="AG8" s="637"/>
      <c r="AH8" s="637"/>
      <c r="AI8" s="637"/>
      <c r="AJ8" s="637"/>
      <c r="AK8" s="637"/>
      <c r="AL8" s="637"/>
      <c r="AM8" s="637"/>
    </row>
    <row r="9" spans="1:39" ht="14.4" customHeight="1" x14ac:dyDescent="0.55000000000000004">
      <c r="A9" s="637"/>
      <c r="B9" s="637"/>
      <c r="C9" s="637"/>
      <c r="D9" s="637"/>
      <c r="E9" s="637"/>
      <c r="F9" s="637"/>
      <c r="G9" s="637"/>
      <c r="H9" s="637"/>
      <c r="I9" s="637"/>
      <c r="J9" s="637"/>
      <c r="K9" s="637"/>
      <c r="L9" s="637"/>
      <c r="M9" s="637"/>
      <c r="N9" s="637"/>
      <c r="O9" s="637"/>
      <c r="P9" s="637"/>
      <c r="Q9" s="637"/>
      <c r="R9" s="637"/>
      <c r="S9" s="637"/>
      <c r="T9" s="637"/>
      <c r="U9" s="637"/>
      <c r="V9" s="637"/>
      <c r="W9" s="637"/>
      <c r="X9" s="637"/>
      <c r="Y9" s="637"/>
      <c r="Z9" s="637"/>
      <c r="AA9" s="637"/>
      <c r="AB9" s="637"/>
      <c r="AC9" s="637"/>
      <c r="AD9" s="637"/>
      <c r="AE9" s="637"/>
      <c r="AF9" s="637"/>
      <c r="AG9" s="637"/>
      <c r="AH9" s="637"/>
      <c r="AI9" s="637"/>
      <c r="AJ9" s="637"/>
      <c r="AK9" s="637"/>
      <c r="AL9" s="637"/>
      <c r="AM9" s="637"/>
    </row>
    <row r="10" spans="1:39" ht="14.4" customHeight="1" x14ac:dyDescent="0.55000000000000004">
      <c r="A10" s="637"/>
      <c r="B10" s="637"/>
      <c r="C10" s="637"/>
      <c r="D10" s="637"/>
      <c r="E10" s="637"/>
      <c r="F10" s="637"/>
      <c r="G10" s="637"/>
      <c r="H10" s="637"/>
      <c r="I10" s="637"/>
      <c r="J10" s="637"/>
      <c r="K10" s="637"/>
      <c r="L10" s="637"/>
      <c r="M10" s="637"/>
      <c r="N10" s="637"/>
      <c r="O10" s="637"/>
      <c r="P10" s="637"/>
      <c r="Q10" s="637"/>
      <c r="R10" s="637"/>
      <c r="S10" s="637"/>
      <c r="T10" s="637"/>
      <c r="U10" s="637"/>
      <c r="V10" s="637"/>
      <c r="W10" s="637"/>
      <c r="X10" s="637"/>
      <c r="Y10" s="637"/>
      <c r="Z10" s="637"/>
      <c r="AA10" s="637"/>
      <c r="AB10" s="637"/>
      <c r="AC10" s="637"/>
      <c r="AD10" s="637"/>
      <c r="AE10" s="637"/>
      <c r="AF10" s="637"/>
      <c r="AG10" s="637"/>
      <c r="AH10" s="637"/>
      <c r="AI10" s="637"/>
      <c r="AJ10" s="637"/>
      <c r="AK10" s="637"/>
      <c r="AL10" s="637"/>
      <c r="AM10" s="637"/>
    </row>
    <row r="11" spans="1:39" ht="14.4" customHeight="1" x14ac:dyDescent="0.55000000000000004">
      <c r="A11" s="638"/>
      <c r="B11" s="638"/>
      <c r="C11" s="638"/>
      <c r="D11" s="638"/>
      <c r="E11" s="638"/>
      <c r="F11" s="638"/>
      <c r="G11" s="638"/>
      <c r="H11" s="638"/>
      <c r="I11" s="638"/>
      <c r="J11" s="638"/>
      <c r="K11" s="638"/>
      <c r="L11" s="638"/>
      <c r="M11" s="638"/>
      <c r="N11" s="638"/>
      <c r="O11" s="638"/>
      <c r="P11" s="638"/>
      <c r="Q11" s="638"/>
      <c r="R11" s="638"/>
      <c r="S11" s="638"/>
      <c r="T11" s="638"/>
      <c r="U11" s="638"/>
      <c r="V11" s="638"/>
      <c r="W11" s="638"/>
      <c r="X11" s="638"/>
      <c r="Y11" s="638"/>
      <c r="Z11" s="638"/>
      <c r="AA11" s="638"/>
      <c r="AB11" s="638"/>
      <c r="AC11" s="638"/>
      <c r="AD11" s="638"/>
      <c r="AE11" s="638"/>
      <c r="AF11" s="638"/>
      <c r="AG11" s="638"/>
      <c r="AH11" s="638"/>
      <c r="AI11" s="638"/>
      <c r="AJ11" s="638"/>
      <c r="AK11" s="638"/>
      <c r="AL11" s="638"/>
      <c r="AM11" s="638"/>
    </row>
    <row r="12" spans="1:39" ht="14.4" customHeight="1" x14ac:dyDescent="0.55000000000000004">
      <c r="A12" s="632" t="s">
        <v>350</v>
      </c>
      <c r="B12" s="638"/>
      <c r="C12" s="638"/>
      <c r="D12" s="638"/>
      <c r="E12" s="638"/>
      <c r="F12" s="638"/>
      <c r="G12" s="638"/>
      <c r="H12" s="638"/>
      <c r="I12" s="638"/>
      <c r="J12" s="638"/>
      <c r="K12" s="638"/>
      <c r="L12" s="638"/>
      <c r="M12" s="638"/>
      <c r="N12" s="638"/>
      <c r="O12" s="638"/>
      <c r="P12" s="638"/>
      <c r="Q12" s="638"/>
      <c r="R12" s="638"/>
      <c r="S12" s="638"/>
      <c r="T12" s="638"/>
      <c r="U12" s="638"/>
      <c r="V12" s="638"/>
      <c r="W12" s="638"/>
      <c r="X12" s="638"/>
      <c r="Y12" s="638"/>
      <c r="Z12" s="638"/>
      <c r="AA12" s="638"/>
      <c r="AB12" s="638"/>
      <c r="AC12" s="638"/>
      <c r="AD12" s="638"/>
      <c r="AE12" s="638"/>
      <c r="AF12" s="638"/>
      <c r="AG12" s="638"/>
      <c r="AH12" s="638"/>
      <c r="AI12" s="638"/>
      <c r="AJ12" s="638"/>
      <c r="AK12" s="638"/>
      <c r="AL12" s="638"/>
      <c r="AM12" s="638"/>
    </row>
    <row r="13" spans="1:39" ht="14.7" customHeight="1" x14ac:dyDescent="0.55000000000000004">
      <c r="A13" s="632" t="s">
        <v>20</v>
      </c>
      <c r="AL13" s="638"/>
      <c r="AM13" s="638"/>
    </row>
    <row r="14" spans="1:39" ht="14.7" customHeight="1" x14ac:dyDescent="0.55000000000000004">
      <c r="A14" s="639" t="s">
        <v>29</v>
      </c>
      <c r="D14" s="633" t="s">
        <v>186</v>
      </c>
      <c r="E14" s="628">
        <v>3.5999999999999996</v>
      </c>
      <c r="F14" s="628"/>
      <c r="G14" s="628"/>
      <c r="I14" s="639" t="s">
        <v>189</v>
      </c>
      <c r="N14" s="639" t="s">
        <v>30</v>
      </c>
      <c r="Q14" s="633" t="s">
        <v>186</v>
      </c>
      <c r="R14" s="628">
        <v>0.6</v>
      </c>
      <c r="S14" s="628"/>
      <c r="T14" s="628"/>
      <c r="V14" s="639" t="s">
        <v>189</v>
      </c>
      <c r="AA14" s="639" t="s">
        <v>31</v>
      </c>
      <c r="AD14" s="633" t="s">
        <v>186</v>
      </c>
      <c r="AE14" s="628">
        <v>0.6</v>
      </c>
      <c r="AF14" s="628"/>
      <c r="AG14" s="628"/>
      <c r="AI14" s="639" t="s">
        <v>189</v>
      </c>
      <c r="AL14" s="638"/>
      <c r="AM14" s="638"/>
    </row>
    <row r="16" spans="1:39" x14ac:dyDescent="0.55000000000000004">
      <c r="A16" s="632" t="s">
        <v>351</v>
      </c>
    </row>
    <row r="17" spans="1:35" ht="16.8" x14ac:dyDescent="0.75">
      <c r="A17" s="633" t="s">
        <v>127</v>
      </c>
      <c r="D17" s="633" t="s">
        <v>186</v>
      </c>
      <c r="E17" s="640">
        <v>2968.6139330291758</v>
      </c>
      <c r="F17" s="640"/>
      <c r="G17" s="640"/>
      <c r="I17" s="633" t="s">
        <v>187</v>
      </c>
      <c r="N17" s="633" t="s">
        <v>128</v>
      </c>
      <c r="Q17" s="633" t="s">
        <v>186</v>
      </c>
      <c r="R17" s="640">
        <v>85.5</v>
      </c>
      <c r="S17" s="640"/>
      <c r="T17" s="640"/>
      <c r="V17" s="633" t="s">
        <v>188</v>
      </c>
      <c r="AA17" s="633" t="s">
        <v>129</v>
      </c>
      <c r="AD17" s="633" t="s">
        <v>186</v>
      </c>
      <c r="AE17" s="640">
        <v>0</v>
      </c>
      <c r="AF17" s="640"/>
      <c r="AG17" s="640"/>
      <c r="AI17" s="633" t="s">
        <v>188</v>
      </c>
    </row>
    <row r="19" spans="1:35" x14ac:dyDescent="0.55000000000000004">
      <c r="A19" s="632" t="s">
        <v>352</v>
      </c>
    </row>
    <row r="20" spans="1:35" x14ac:dyDescent="0.55000000000000004">
      <c r="A20" s="639" t="s">
        <v>353</v>
      </c>
      <c r="E20" s="640"/>
      <c r="F20" s="640"/>
      <c r="G20" s="640"/>
    </row>
    <row r="21" spans="1:35" x14ac:dyDescent="0.55000000000000004">
      <c r="B21" s="641"/>
      <c r="D21" s="633" t="s">
        <v>186</v>
      </c>
      <c r="F21" s="642">
        <v>28000</v>
      </c>
      <c r="G21" s="642"/>
      <c r="H21" s="642"/>
      <c r="K21" s="633" t="s">
        <v>202</v>
      </c>
      <c r="T21" s="633" t="s">
        <v>186</v>
      </c>
      <c r="V21" s="642">
        <v>28000</v>
      </c>
      <c r="W21" s="642"/>
      <c r="X21" s="642"/>
      <c r="AA21" s="633" t="s">
        <v>202</v>
      </c>
    </row>
    <row r="22" spans="1:35" x14ac:dyDescent="0.55000000000000004">
      <c r="A22" s="639"/>
      <c r="B22" s="641"/>
      <c r="D22" s="633" t="s">
        <v>186</v>
      </c>
      <c r="F22" s="676">
        <v>12500000</v>
      </c>
      <c r="G22" s="676"/>
      <c r="H22" s="676"/>
      <c r="I22" s="676"/>
      <c r="J22" s="676"/>
      <c r="K22" s="633" t="s">
        <v>202</v>
      </c>
      <c r="R22" s="645"/>
      <c r="S22" s="645"/>
      <c r="T22" s="645"/>
    </row>
    <row r="23" spans="1:35" x14ac:dyDescent="0.55000000000000004">
      <c r="A23" s="641"/>
      <c r="D23" s="641"/>
      <c r="E23" s="640"/>
      <c r="F23" s="640"/>
      <c r="G23" s="640"/>
    </row>
    <row r="24" spans="1:35" x14ac:dyDescent="0.55000000000000004">
      <c r="A24" s="632" t="s">
        <v>354</v>
      </c>
      <c r="B24" s="641"/>
      <c r="U24" s="640"/>
      <c r="V24" s="640"/>
      <c r="W24" s="640"/>
    </row>
    <row r="25" spans="1:35" x14ac:dyDescent="0.55000000000000004">
      <c r="B25" s="641"/>
      <c r="D25" s="633" t="s">
        <v>186</v>
      </c>
      <c r="F25" s="628">
        <v>0.6</v>
      </c>
      <c r="G25" s="628"/>
      <c r="H25" s="628"/>
      <c r="K25" s="633" t="s">
        <v>39</v>
      </c>
      <c r="R25" s="641"/>
      <c r="T25" s="633" t="s">
        <v>186</v>
      </c>
      <c r="V25" s="628">
        <v>1.3</v>
      </c>
      <c r="W25" s="628"/>
      <c r="X25" s="628"/>
      <c r="AA25" s="633" t="s">
        <v>39</v>
      </c>
    </row>
    <row r="26" spans="1:35" x14ac:dyDescent="0.55000000000000004">
      <c r="G26" s="627"/>
      <c r="N26" s="641"/>
    </row>
    <row r="27" spans="1:35" x14ac:dyDescent="0.55000000000000004">
      <c r="A27" s="632" t="s">
        <v>355</v>
      </c>
    </row>
    <row r="28" spans="1:35" x14ac:dyDescent="0.55000000000000004">
      <c r="A28" s="632" t="s">
        <v>356</v>
      </c>
    </row>
    <row r="29" spans="1:35" ht="16.5" x14ac:dyDescent="0.55000000000000004">
      <c r="D29" s="633" t="s">
        <v>186</v>
      </c>
      <c r="F29" s="675">
        <f>(R14*AE14^2)/6</f>
        <v>3.5999999999999997E-2</v>
      </c>
      <c r="G29" s="675"/>
      <c r="H29" s="675"/>
      <c r="K29" s="639" t="s">
        <v>357</v>
      </c>
      <c r="T29" s="633" t="s">
        <v>186</v>
      </c>
      <c r="V29" s="675">
        <f>(AE14*R14^2)/6</f>
        <v>3.5999999999999997E-2</v>
      </c>
      <c r="W29" s="675"/>
      <c r="X29" s="675"/>
      <c r="AA29" s="639" t="s">
        <v>357</v>
      </c>
    </row>
    <row r="30" spans="1:35" x14ac:dyDescent="0.55000000000000004">
      <c r="D30" s="633" t="s">
        <v>186</v>
      </c>
      <c r="F30" s="675">
        <f>SQRT(F31/(R14*AE14))</f>
        <v>0.17320508075688773</v>
      </c>
      <c r="G30" s="675"/>
      <c r="H30" s="675"/>
      <c r="K30" s="633" t="s">
        <v>197</v>
      </c>
      <c r="T30" s="633" t="s">
        <v>186</v>
      </c>
      <c r="V30" s="675">
        <f>SQRT(V31/(R14*AE14))</f>
        <v>0.17320508075688773</v>
      </c>
      <c r="W30" s="675"/>
      <c r="X30" s="675"/>
      <c r="AA30" s="633" t="s">
        <v>197</v>
      </c>
    </row>
    <row r="31" spans="1:35" x14ac:dyDescent="0.55000000000000004">
      <c r="D31" s="633" t="s">
        <v>186</v>
      </c>
      <c r="F31" s="675">
        <f>(R14*AE14^3)/12</f>
        <v>1.0799999999999999E-2</v>
      </c>
      <c r="G31" s="675"/>
      <c r="H31" s="675"/>
      <c r="K31" s="633" t="s">
        <v>194</v>
      </c>
      <c r="T31" s="633" t="s">
        <v>186</v>
      </c>
      <c r="V31" s="675">
        <f>(AE14*R14^3)/12</f>
        <v>1.0799999999999999E-2</v>
      </c>
      <c r="W31" s="675"/>
      <c r="X31" s="675"/>
      <c r="AA31" s="633" t="s">
        <v>194</v>
      </c>
    </row>
    <row r="32" spans="1:35" x14ac:dyDescent="0.55000000000000004">
      <c r="B32" s="641"/>
      <c r="G32" s="643"/>
      <c r="H32" s="643"/>
      <c r="I32" s="643"/>
      <c r="J32" s="643"/>
      <c r="K32" s="644"/>
    </row>
    <row r="33" spans="1:37" x14ac:dyDescent="0.55000000000000004">
      <c r="A33" s="632" t="s">
        <v>358</v>
      </c>
    </row>
    <row r="34" spans="1:37" x14ac:dyDescent="0.55000000000000004">
      <c r="B34" s="641"/>
      <c r="D34" s="633" t="s">
        <v>186</v>
      </c>
      <c r="F34" s="642">
        <v>12923.076923076922</v>
      </c>
      <c r="G34" s="642"/>
      <c r="H34" s="642"/>
      <c r="K34" s="633" t="s">
        <v>202</v>
      </c>
      <c r="T34" s="633" t="s">
        <v>186</v>
      </c>
      <c r="V34" s="642">
        <v>12923.076923076922</v>
      </c>
      <c r="W34" s="642"/>
      <c r="X34" s="642"/>
      <c r="Z34" s="633" t="s">
        <v>202</v>
      </c>
    </row>
    <row r="35" spans="1:37" x14ac:dyDescent="0.55000000000000004">
      <c r="A35" s="639"/>
      <c r="B35" s="641"/>
      <c r="D35" s="633" t="s">
        <v>186</v>
      </c>
      <c r="F35" s="676">
        <v>9615384.615384616</v>
      </c>
      <c r="G35" s="676"/>
      <c r="H35" s="676"/>
      <c r="I35" s="676"/>
      <c r="J35" s="644"/>
      <c r="K35" s="633" t="s">
        <v>202</v>
      </c>
      <c r="R35" s="645"/>
      <c r="S35" s="645"/>
      <c r="T35" s="645"/>
    </row>
    <row r="36" spans="1:37" x14ac:dyDescent="0.55000000000000004">
      <c r="B36" s="641"/>
    </row>
    <row r="37" spans="1:37" x14ac:dyDescent="0.55000000000000004">
      <c r="F37" s="641"/>
      <c r="G37" s="641"/>
      <c r="R37" s="640"/>
      <c r="S37" s="640"/>
      <c r="T37" s="640"/>
      <c r="U37" s="640"/>
      <c r="V37" s="640"/>
    </row>
    <row r="38" spans="1:37" x14ac:dyDescent="0.55000000000000004">
      <c r="B38" s="641"/>
    </row>
    <row r="39" spans="1:37" x14ac:dyDescent="0.55000000000000004">
      <c r="F39" s="641"/>
      <c r="G39" s="641"/>
    </row>
    <row r="40" spans="1:37" ht="25.2" customHeight="1" x14ac:dyDescent="0.55000000000000004">
      <c r="B40" s="641"/>
      <c r="R40" s="640"/>
      <c r="S40" s="640"/>
      <c r="T40" s="640"/>
      <c r="U40" s="640"/>
      <c r="V40" s="640"/>
      <c r="AA40" s="640"/>
      <c r="AB40" s="640"/>
      <c r="AC40" s="640"/>
      <c r="AE40" s="640"/>
      <c r="AF40" s="640"/>
      <c r="AH40" s="646"/>
      <c r="AI40" s="646"/>
      <c r="AJ40" s="646"/>
      <c r="AK40" s="646"/>
    </row>
    <row r="41" spans="1:37" ht="28.2" customHeight="1" x14ac:dyDescent="0.55000000000000004">
      <c r="B41" s="641"/>
      <c r="R41" s="641"/>
      <c r="S41" s="641"/>
      <c r="T41" s="641"/>
      <c r="U41" s="641"/>
      <c r="V41" s="641"/>
      <c r="AA41" s="641"/>
      <c r="AB41" s="641"/>
      <c r="AC41" s="641"/>
      <c r="AE41" s="641"/>
      <c r="AF41" s="641"/>
      <c r="AH41" s="647"/>
      <c r="AI41" s="647"/>
      <c r="AJ41" s="647"/>
      <c r="AK41" s="647"/>
    </row>
    <row r="42" spans="1:37" ht="28.2" customHeight="1" x14ac:dyDescent="0.55000000000000004">
      <c r="F42" s="641"/>
      <c r="G42" s="641"/>
    </row>
    <row r="43" spans="1:37" ht="28.2" customHeight="1" x14ac:dyDescent="0.55000000000000004">
      <c r="A43" s="640"/>
      <c r="B43" s="640"/>
      <c r="C43" s="640"/>
      <c r="F43" s="641"/>
      <c r="G43" s="641"/>
      <c r="R43" s="640"/>
      <c r="S43" s="640"/>
      <c r="T43" s="640"/>
      <c r="U43" s="640"/>
      <c r="V43" s="640"/>
      <c r="AD43" s="641"/>
      <c r="AE43" s="641"/>
      <c r="AH43" s="640"/>
      <c r="AI43" s="640"/>
      <c r="AJ43" s="640"/>
    </row>
    <row r="46" spans="1:37" x14ac:dyDescent="0.55000000000000004">
      <c r="A46" s="632" t="s">
        <v>359</v>
      </c>
    </row>
    <row r="47" spans="1:37" x14ac:dyDescent="0.55000000000000004">
      <c r="A47" s="632" t="s">
        <v>360</v>
      </c>
    </row>
    <row r="48" spans="1:37" x14ac:dyDescent="0.55000000000000004">
      <c r="A48" s="648"/>
    </row>
    <row r="49" spans="1:42" x14ac:dyDescent="0.55000000000000004">
      <c r="A49" s="640" t="s">
        <v>209</v>
      </c>
      <c r="B49" s="640"/>
      <c r="C49" s="640"/>
      <c r="E49" s="633" t="s">
        <v>186</v>
      </c>
      <c r="G49" s="674">
        <v>2.5000000000000001E-3</v>
      </c>
      <c r="H49" s="674"/>
      <c r="I49" s="674"/>
      <c r="O49" s="636" t="s">
        <v>371</v>
      </c>
      <c r="T49" s="677">
        <v>0</v>
      </c>
      <c r="U49" s="633" t="str">
        <f>IF(T49=0,"y","z")</f>
        <v>y</v>
      </c>
    </row>
    <row r="50" spans="1:42" x14ac:dyDescent="0.55000000000000004">
      <c r="A50" s="640" t="s">
        <v>210</v>
      </c>
      <c r="B50" s="640"/>
      <c r="C50" s="640"/>
      <c r="E50" s="633" t="s">
        <v>186</v>
      </c>
      <c r="G50" s="640" t="s">
        <v>209</v>
      </c>
      <c r="H50" s="640"/>
      <c r="I50" s="640"/>
      <c r="J50" s="633" t="s">
        <v>211</v>
      </c>
      <c r="K50" s="640" t="s">
        <v>29</v>
      </c>
      <c r="L50" s="640"/>
      <c r="M50" s="640"/>
      <c r="O50" s="633" t="s">
        <v>186</v>
      </c>
      <c r="Q50" s="674">
        <f>G49*E14</f>
        <v>8.9999999999999993E-3</v>
      </c>
      <c r="R50" s="674"/>
      <c r="S50" s="674"/>
      <c r="U50" s="633" t="s">
        <v>189</v>
      </c>
    </row>
    <row r="51" spans="1:42" x14ac:dyDescent="0.55000000000000004">
      <c r="A51" s="640" t="s">
        <v>212</v>
      </c>
      <c r="B51" s="640"/>
      <c r="C51" s="640"/>
      <c r="E51" s="633" t="s">
        <v>186</v>
      </c>
      <c r="G51" s="640" t="s">
        <v>210</v>
      </c>
      <c r="H51" s="640"/>
      <c r="I51" s="640"/>
      <c r="J51" s="633" t="s">
        <v>211</v>
      </c>
      <c r="K51" s="640" t="s">
        <v>32</v>
      </c>
      <c r="L51" s="640"/>
      <c r="M51" s="640"/>
      <c r="O51" s="633" t="s">
        <v>186</v>
      </c>
      <c r="Q51" s="670">
        <f>Q50*E17</f>
        <v>26.71752539726258</v>
      </c>
      <c r="R51" s="670"/>
      <c r="S51" s="670"/>
      <c r="U51" s="633" t="s">
        <v>188</v>
      </c>
    </row>
    <row r="52" spans="1:42" x14ac:dyDescent="0.55000000000000004">
      <c r="A52" s="641"/>
      <c r="B52" s="641"/>
      <c r="C52" s="641"/>
      <c r="G52" s="641"/>
      <c r="H52" s="641"/>
      <c r="I52" s="641"/>
      <c r="K52" s="641"/>
      <c r="L52" s="641"/>
      <c r="M52" s="641"/>
      <c r="Q52" s="641"/>
      <c r="R52" s="641"/>
      <c r="S52" s="641"/>
    </row>
    <row r="53" spans="1:42" x14ac:dyDescent="0.55000000000000004">
      <c r="A53" s="632" t="s">
        <v>361</v>
      </c>
    </row>
    <row r="54" spans="1:42" x14ac:dyDescent="0.55000000000000004">
      <c r="A54" s="649" t="s">
        <v>214</v>
      </c>
    </row>
    <row r="56" spans="1:42" x14ac:dyDescent="0.55000000000000004">
      <c r="A56" s="633" t="s">
        <v>206</v>
      </c>
      <c r="P56" s="633" t="s">
        <v>215</v>
      </c>
    </row>
    <row r="59" spans="1:42" ht="16.8" x14ac:dyDescent="0.75">
      <c r="A59" s="650" t="s">
        <v>199</v>
      </c>
      <c r="B59" s="651"/>
      <c r="C59" s="651"/>
      <c r="D59" s="652"/>
      <c r="E59" s="651" t="s">
        <v>216</v>
      </c>
      <c r="F59" s="651"/>
      <c r="G59" s="651"/>
      <c r="H59" s="651"/>
      <c r="I59" s="651"/>
      <c r="J59" s="652"/>
      <c r="K59" s="651" t="s">
        <v>217</v>
      </c>
      <c r="L59" s="651"/>
      <c r="M59" s="651"/>
      <c r="N59" s="651"/>
      <c r="O59" s="651"/>
      <c r="P59" s="652"/>
      <c r="Q59" s="651" t="s">
        <v>218</v>
      </c>
      <c r="R59" s="651"/>
      <c r="S59" s="651"/>
      <c r="T59" s="651"/>
      <c r="U59" s="651"/>
      <c r="V59" s="652"/>
      <c r="W59" s="651" t="s">
        <v>128</v>
      </c>
      <c r="X59" s="651"/>
      <c r="Y59" s="651"/>
      <c r="Z59" s="651"/>
      <c r="AA59" s="653"/>
    </row>
    <row r="60" spans="1:42" x14ac:dyDescent="0.55000000000000004">
      <c r="A60" s="654" t="s">
        <v>39</v>
      </c>
      <c r="B60" s="655"/>
      <c r="C60" s="655"/>
      <c r="D60" s="656"/>
      <c r="E60" s="657" t="s">
        <v>219</v>
      </c>
      <c r="F60" s="657"/>
      <c r="G60" s="657"/>
      <c r="H60" s="657"/>
      <c r="I60" s="657"/>
      <c r="J60" s="656"/>
      <c r="K60" s="657" t="s">
        <v>188</v>
      </c>
      <c r="L60" s="657"/>
      <c r="M60" s="657"/>
      <c r="N60" s="657"/>
      <c r="O60" s="657"/>
      <c r="P60" s="656"/>
      <c r="Q60" s="657" t="s">
        <v>219</v>
      </c>
      <c r="R60" s="657"/>
      <c r="S60" s="657"/>
      <c r="T60" s="657"/>
      <c r="U60" s="657"/>
      <c r="V60" s="656"/>
      <c r="W60" s="657" t="s">
        <v>188</v>
      </c>
      <c r="X60" s="657"/>
      <c r="Y60" s="657"/>
      <c r="Z60" s="657"/>
      <c r="AA60" s="658"/>
    </row>
    <row r="61" spans="1:42" x14ac:dyDescent="0.55000000000000004">
      <c r="A61" s="640">
        <v>0</v>
      </c>
      <c r="B61" s="640"/>
      <c r="C61" s="640"/>
      <c r="E61" s="670">
        <v>9</v>
      </c>
      <c r="F61" s="670"/>
      <c r="G61" s="670"/>
      <c r="H61" s="670"/>
      <c r="I61" s="670"/>
      <c r="J61" s="669"/>
      <c r="K61" s="670">
        <v>112.21752539726258</v>
      </c>
      <c r="L61" s="670"/>
      <c r="M61" s="670"/>
      <c r="N61" s="670"/>
      <c r="O61" s="670"/>
      <c r="P61" s="669"/>
      <c r="Q61" s="670">
        <v>8.9999999999999993E-3</v>
      </c>
      <c r="R61" s="670"/>
      <c r="S61" s="670"/>
      <c r="T61" s="670"/>
      <c r="U61" s="670"/>
      <c r="V61" s="669"/>
      <c r="W61" s="670">
        <v>26.71752539726258</v>
      </c>
      <c r="X61" s="670"/>
      <c r="Y61" s="670"/>
      <c r="Z61" s="670"/>
      <c r="AA61" s="670"/>
    </row>
    <row r="62" spans="1:42" x14ac:dyDescent="0.55000000000000004">
      <c r="A62" s="640">
        <v>1</v>
      </c>
      <c r="B62" s="640"/>
      <c r="C62" s="640"/>
      <c r="E62" s="670">
        <v>1.4</v>
      </c>
      <c r="F62" s="670"/>
      <c r="G62" s="670"/>
      <c r="H62" s="670"/>
      <c r="I62" s="670"/>
      <c r="J62" s="669"/>
      <c r="K62" s="670">
        <v>4.21</v>
      </c>
      <c r="L62" s="670"/>
      <c r="M62" s="670"/>
      <c r="N62" s="670"/>
      <c r="O62" s="670"/>
      <c r="P62" s="669"/>
      <c r="Q62" s="670">
        <v>9.3000000000000007</v>
      </c>
      <c r="R62" s="670"/>
      <c r="S62" s="670"/>
      <c r="T62" s="670"/>
      <c r="U62" s="670"/>
      <c r="V62" s="669"/>
      <c r="W62" s="670">
        <v>27.72</v>
      </c>
      <c r="X62" s="670"/>
      <c r="Y62" s="670"/>
      <c r="Z62" s="670"/>
      <c r="AA62" s="670"/>
    </row>
    <row r="63" spans="1:42" x14ac:dyDescent="0.55000000000000004">
      <c r="A63" s="640">
        <v>2</v>
      </c>
      <c r="B63" s="640"/>
      <c r="C63" s="640"/>
      <c r="E63" s="670">
        <v>0.1</v>
      </c>
      <c r="F63" s="670"/>
      <c r="G63" s="670"/>
      <c r="H63" s="670"/>
      <c r="I63" s="670"/>
      <c r="J63" s="669"/>
      <c r="K63" s="670">
        <v>0.16</v>
      </c>
      <c r="L63" s="670"/>
      <c r="M63" s="670"/>
      <c r="N63" s="670"/>
      <c r="O63" s="670"/>
      <c r="P63" s="669"/>
      <c r="Q63" s="670">
        <v>9.3000000000000007</v>
      </c>
      <c r="R63" s="670"/>
      <c r="S63" s="670"/>
      <c r="T63" s="670"/>
      <c r="U63" s="670"/>
      <c r="V63" s="669"/>
      <c r="W63" s="670">
        <v>27.76</v>
      </c>
      <c r="X63" s="670"/>
      <c r="Y63" s="670"/>
      <c r="Z63" s="670"/>
      <c r="AA63" s="670"/>
    </row>
    <row r="64" spans="1:42" x14ac:dyDescent="0.55000000000000004">
      <c r="A64" s="640">
        <v>3</v>
      </c>
      <c r="B64" s="640"/>
      <c r="C64" s="640"/>
      <c r="E64" s="670">
        <v>0</v>
      </c>
      <c r="F64" s="670"/>
      <c r="G64" s="670"/>
      <c r="H64" s="670"/>
      <c r="I64" s="670"/>
      <c r="J64" s="669"/>
      <c r="K64" s="670">
        <v>0.01</v>
      </c>
      <c r="L64" s="670"/>
      <c r="M64" s="670"/>
      <c r="N64" s="670"/>
      <c r="O64" s="670"/>
      <c r="P64" s="669"/>
      <c r="Q64" s="670">
        <v>9.3000000000000007</v>
      </c>
      <c r="R64" s="670"/>
      <c r="S64" s="670"/>
      <c r="T64" s="670"/>
      <c r="U64" s="670"/>
      <c r="V64" s="669"/>
      <c r="W64" s="670">
        <v>27.76</v>
      </c>
      <c r="X64" s="670"/>
      <c r="Y64" s="670"/>
      <c r="Z64" s="670"/>
      <c r="AA64" s="670"/>
      <c r="AP64" s="648"/>
    </row>
    <row r="65" spans="1:27" x14ac:dyDescent="0.55000000000000004">
      <c r="A65" s="640">
        <v>4</v>
      </c>
      <c r="B65" s="640"/>
      <c r="C65" s="640"/>
      <c r="E65" s="670">
        <v>0</v>
      </c>
      <c r="F65" s="670"/>
      <c r="G65" s="670"/>
      <c r="H65" s="670"/>
      <c r="I65" s="670"/>
      <c r="J65" s="669"/>
      <c r="K65" s="670">
        <v>0</v>
      </c>
      <c r="L65" s="670"/>
      <c r="M65" s="670"/>
      <c r="N65" s="670"/>
      <c r="O65" s="670"/>
      <c r="P65" s="669"/>
      <c r="Q65" s="670">
        <v>9.3000000000000007</v>
      </c>
      <c r="R65" s="670"/>
      <c r="S65" s="670"/>
      <c r="T65" s="670"/>
      <c r="U65" s="670"/>
      <c r="V65" s="669"/>
      <c r="W65" s="670">
        <v>27.76</v>
      </c>
      <c r="X65" s="670"/>
      <c r="Y65" s="670"/>
      <c r="Z65" s="670"/>
      <c r="AA65" s="670"/>
    </row>
    <row r="66" spans="1:27" x14ac:dyDescent="0.55000000000000004">
      <c r="A66" s="640">
        <v>5</v>
      </c>
      <c r="B66" s="640"/>
      <c r="C66" s="640"/>
      <c r="E66" s="670">
        <v>0</v>
      </c>
      <c r="F66" s="670"/>
      <c r="G66" s="670"/>
      <c r="H66" s="670"/>
      <c r="I66" s="670"/>
      <c r="J66" s="669"/>
      <c r="K66" s="670">
        <v>0</v>
      </c>
      <c r="L66" s="670"/>
      <c r="M66" s="670"/>
      <c r="N66" s="670"/>
      <c r="O66" s="670"/>
      <c r="P66" s="669"/>
      <c r="Q66" s="670">
        <v>9.3000000000000007</v>
      </c>
      <c r="R66" s="670"/>
      <c r="S66" s="670"/>
      <c r="T66" s="670"/>
      <c r="U66" s="670"/>
      <c r="V66" s="669"/>
      <c r="W66" s="670">
        <v>27.76</v>
      </c>
      <c r="X66" s="670"/>
      <c r="Y66" s="670"/>
      <c r="Z66" s="670"/>
      <c r="AA66" s="670"/>
    </row>
    <row r="67" spans="1:27" x14ac:dyDescent="0.55000000000000004">
      <c r="A67" s="640">
        <v>6</v>
      </c>
      <c r="B67" s="640"/>
      <c r="C67" s="640"/>
      <c r="E67" s="670">
        <v>0</v>
      </c>
      <c r="F67" s="670"/>
      <c r="G67" s="670"/>
      <c r="H67" s="670"/>
      <c r="I67" s="670"/>
      <c r="J67" s="669"/>
      <c r="K67" s="670">
        <v>0</v>
      </c>
      <c r="L67" s="670"/>
      <c r="M67" s="670"/>
      <c r="N67" s="670"/>
      <c r="O67" s="670"/>
      <c r="P67" s="669"/>
      <c r="Q67" s="670">
        <v>9.3000000000000007</v>
      </c>
      <c r="R67" s="670"/>
      <c r="S67" s="670"/>
      <c r="T67" s="670"/>
      <c r="U67" s="670"/>
      <c r="V67" s="669"/>
      <c r="W67" s="670">
        <v>27.76</v>
      </c>
      <c r="X67" s="670"/>
      <c r="Y67" s="670"/>
      <c r="Z67" s="670"/>
      <c r="AA67" s="670"/>
    </row>
    <row r="68" spans="1:27" x14ac:dyDescent="0.55000000000000004">
      <c r="A68" s="640">
        <v>7</v>
      </c>
      <c r="B68" s="640"/>
      <c r="C68" s="640"/>
      <c r="E68" s="670">
        <v>0</v>
      </c>
      <c r="F68" s="670"/>
      <c r="G68" s="670"/>
      <c r="H68" s="670"/>
      <c r="I68" s="670"/>
      <c r="J68" s="669"/>
      <c r="K68" s="670">
        <v>0</v>
      </c>
      <c r="L68" s="670"/>
      <c r="M68" s="670"/>
      <c r="N68" s="670"/>
      <c r="O68" s="670"/>
      <c r="P68" s="669"/>
      <c r="Q68" s="670">
        <v>9.3000000000000007</v>
      </c>
      <c r="R68" s="670"/>
      <c r="S68" s="670"/>
      <c r="T68" s="670"/>
      <c r="U68" s="670"/>
      <c r="V68" s="669"/>
      <c r="W68" s="670">
        <v>27.76</v>
      </c>
      <c r="X68" s="670"/>
      <c r="Y68" s="670"/>
      <c r="Z68" s="670"/>
      <c r="AA68" s="670"/>
    </row>
    <row r="69" spans="1:27" x14ac:dyDescent="0.55000000000000004">
      <c r="A69" s="640">
        <v>8</v>
      </c>
      <c r="B69" s="640"/>
      <c r="C69" s="640"/>
      <c r="E69" s="670">
        <v>0</v>
      </c>
      <c r="F69" s="670"/>
      <c r="G69" s="670"/>
      <c r="H69" s="670"/>
      <c r="I69" s="670"/>
      <c r="J69" s="669"/>
      <c r="K69" s="670">
        <v>0</v>
      </c>
      <c r="L69" s="670"/>
      <c r="M69" s="670"/>
      <c r="N69" s="670"/>
      <c r="O69" s="670"/>
      <c r="P69" s="669"/>
      <c r="Q69" s="670">
        <v>9.3000000000000007</v>
      </c>
      <c r="R69" s="670"/>
      <c r="S69" s="670"/>
      <c r="T69" s="670"/>
      <c r="U69" s="670"/>
      <c r="V69" s="669"/>
      <c r="W69" s="670">
        <v>27.76</v>
      </c>
      <c r="X69" s="670"/>
      <c r="Y69" s="670"/>
      <c r="Z69" s="670"/>
      <c r="AA69" s="670"/>
    </row>
    <row r="70" spans="1:27" x14ac:dyDescent="0.55000000000000004">
      <c r="A70" s="640">
        <v>9</v>
      </c>
      <c r="B70" s="640"/>
      <c r="C70" s="640"/>
      <c r="E70" s="670">
        <v>0</v>
      </c>
      <c r="F70" s="670"/>
      <c r="G70" s="670"/>
      <c r="H70" s="670"/>
      <c r="I70" s="670"/>
      <c r="J70" s="669"/>
      <c r="K70" s="670">
        <v>0</v>
      </c>
      <c r="L70" s="670"/>
      <c r="M70" s="670"/>
      <c r="N70" s="670"/>
      <c r="O70" s="670"/>
      <c r="P70" s="669"/>
      <c r="Q70" s="670">
        <v>9.3000000000000007</v>
      </c>
      <c r="R70" s="670"/>
      <c r="S70" s="670"/>
      <c r="T70" s="670"/>
      <c r="U70" s="670"/>
      <c r="V70" s="669"/>
      <c r="W70" s="670">
        <v>27.76</v>
      </c>
      <c r="X70" s="670"/>
      <c r="Y70" s="670"/>
      <c r="Z70" s="670"/>
      <c r="AA70" s="670"/>
    </row>
    <row r="71" spans="1:27" x14ac:dyDescent="0.55000000000000004">
      <c r="A71" s="659"/>
      <c r="B71" s="659"/>
      <c r="C71" s="659"/>
      <c r="D71" s="659"/>
      <c r="E71" s="671"/>
      <c r="F71" s="671"/>
      <c r="G71" s="671"/>
      <c r="H71" s="671"/>
      <c r="I71" s="671"/>
      <c r="J71" s="671"/>
      <c r="K71" s="671"/>
      <c r="L71" s="671"/>
      <c r="M71" s="671"/>
      <c r="N71" s="671"/>
      <c r="O71" s="671"/>
      <c r="P71" s="671"/>
      <c r="Q71" s="671"/>
      <c r="R71" s="671"/>
      <c r="S71" s="671"/>
      <c r="T71" s="671"/>
      <c r="U71" s="671"/>
      <c r="V71" s="671"/>
      <c r="W71" s="671"/>
      <c r="X71" s="671"/>
      <c r="Y71" s="671"/>
      <c r="Z71" s="671"/>
      <c r="AA71" s="671"/>
    </row>
    <row r="72" spans="1:27" x14ac:dyDescent="0.55000000000000004">
      <c r="A72" s="646" t="s">
        <v>220</v>
      </c>
      <c r="B72" s="646"/>
      <c r="C72" s="646"/>
      <c r="D72" s="632"/>
      <c r="E72" s="672">
        <f>SUM(E61:I70)</f>
        <v>10.5</v>
      </c>
      <c r="F72" s="672"/>
      <c r="G72" s="672"/>
      <c r="H72" s="672"/>
      <c r="I72" s="672"/>
      <c r="J72" s="673"/>
      <c r="K72" s="672">
        <f>SUM(K61:O70)</f>
        <v>116.59752539726257</v>
      </c>
      <c r="L72" s="672"/>
      <c r="M72" s="672"/>
      <c r="N72" s="672"/>
      <c r="O72" s="672"/>
      <c r="P72" s="673"/>
      <c r="Q72" s="672">
        <f>Q70</f>
        <v>9.3000000000000007</v>
      </c>
      <c r="R72" s="672"/>
      <c r="S72" s="672"/>
      <c r="T72" s="672"/>
      <c r="U72" s="672"/>
      <c r="V72" s="673"/>
      <c r="W72" s="672">
        <f>W70</f>
        <v>27.76</v>
      </c>
      <c r="X72" s="672"/>
      <c r="Y72" s="672"/>
      <c r="Z72" s="672"/>
      <c r="AA72" s="672"/>
    </row>
    <row r="74" spans="1:27" ht="16.8" x14ac:dyDescent="0.75">
      <c r="A74" s="640" t="s">
        <v>131</v>
      </c>
      <c r="B74" s="640"/>
      <c r="C74" s="640"/>
      <c r="E74" s="633" t="s">
        <v>186</v>
      </c>
      <c r="G74" s="640">
        <f>W72/F29</f>
        <v>771.1111111111112</v>
      </c>
      <c r="H74" s="640"/>
      <c r="I74" s="640"/>
      <c r="J74" s="640"/>
      <c r="K74" s="633" t="s">
        <v>202</v>
      </c>
    </row>
    <row r="76" spans="1:27" x14ac:dyDescent="0.55000000000000004">
      <c r="A76" s="649" t="s">
        <v>221</v>
      </c>
    </row>
    <row r="78" spans="1:27" ht="16.8" x14ac:dyDescent="0.75">
      <c r="A78" s="650" t="s">
        <v>199</v>
      </c>
      <c r="B78" s="651"/>
      <c r="C78" s="651"/>
      <c r="D78" s="652"/>
      <c r="E78" s="651" t="s">
        <v>216</v>
      </c>
      <c r="F78" s="651"/>
      <c r="G78" s="651"/>
      <c r="H78" s="651"/>
      <c r="I78" s="651"/>
      <c r="J78" s="652"/>
      <c r="K78" s="651" t="s">
        <v>217</v>
      </c>
      <c r="L78" s="651"/>
      <c r="M78" s="651"/>
      <c r="N78" s="651"/>
      <c r="O78" s="651"/>
      <c r="P78" s="652"/>
      <c r="Q78" s="651" t="s">
        <v>218</v>
      </c>
      <c r="R78" s="651"/>
      <c r="S78" s="651"/>
      <c r="T78" s="651"/>
      <c r="U78" s="651"/>
      <c r="V78" s="652"/>
      <c r="W78" s="651" t="s">
        <v>129</v>
      </c>
      <c r="X78" s="651"/>
      <c r="Y78" s="651"/>
      <c r="Z78" s="651"/>
      <c r="AA78" s="653"/>
    </row>
    <row r="79" spans="1:27" x14ac:dyDescent="0.55000000000000004">
      <c r="A79" s="654" t="s">
        <v>39</v>
      </c>
      <c r="B79" s="655"/>
      <c r="C79" s="655"/>
      <c r="D79" s="656"/>
      <c r="E79" s="657" t="s">
        <v>219</v>
      </c>
      <c r="F79" s="657"/>
      <c r="G79" s="657"/>
      <c r="H79" s="657"/>
      <c r="I79" s="657"/>
      <c r="J79" s="656"/>
      <c r="K79" s="657" t="s">
        <v>188</v>
      </c>
      <c r="L79" s="657"/>
      <c r="M79" s="657"/>
      <c r="N79" s="657"/>
      <c r="O79" s="657"/>
      <c r="P79" s="656"/>
      <c r="Q79" s="657" t="s">
        <v>219</v>
      </c>
      <c r="R79" s="657"/>
      <c r="S79" s="657"/>
      <c r="T79" s="657"/>
      <c r="U79" s="657"/>
      <c r="V79" s="656"/>
      <c r="W79" s="657" t="s">
        <v>188</v>
      </c>
      <c r="X79" s="657"/>
      <c r="Y79" s="657"/>
      <c r="Z79" s="657"/>
      <c r="AA79" s="658"/>
    </row>
    <row r="80" spans="1:27" x14ac:dyDescent="0.55000000000000004">
      <c r="A80" s="640">
        <v>0</v>
      </c>
      <c r="B80" s="640"/>
      <c r="C80" s="640"/>
      <c r="E80" s="670">
        <v>0</v>
      </c>
      <c r="F80" s="670"/>
      <c r="G80" s="670"/>
      <c r="H80" s="670"/>
      <c r="I80" s="670"/>
      <c r="J80" s="669"/>
      <c r="K80" s="670">
        <v>0</v>
      </c>
      <c r="L80" s="670"/>
      <c r="M80" s="670"/>
      <c r="N80" s="670"/>
      <c r="O80" s="670"/>
      <c r="P80" s="669"/>
      <c r="Q80" s="670">
        <v>0</v>
      </c>
      <c r="R80" s="670"/>
      <c r="S80" s="670"/>
      <c r="T80" s="670"/>
      <c r="U80" s="670"/>
      <c r="V80" s="669"/>
      <c r="W80" s="670">
        <v>0</v>
      </c>
      <c r="X80" s="670"/>
      <c r="Y80" s="670"/>
      <c r="Z80" s="670"/>
      <c r="AA80" s="670"/>
    </row>
    <row r="81" spans="1:27" x14ac:dyDescent="0.55000000000000004">
      <c r="A81" s="640">
        <v>1</v>
      </c>
      <c r="B81" s="640"/>
      <c r="C81" s="640"/>
      <c r="E81" s="670">
        <v>0</v>
      </c>
      <c r="F81" s="670"/>
      <c r="G81" s="670"/>
      <c r="H81" s="670"/>
      <c r="I81" s="670"/>
      <c r="J81" s="669"/>
      <c r="K81" s="670">
        <v>0</v>
      </c>
      <c r="L81" s="670"/>
      <c r="M81" s="670"/>
      <c r="N81" s="670"/>
      <c r="O81" s="670"/>
      <c r="P81" s="669"/>
      <c r="Q81" s="670">
        <v>0</v>
      </c>
      <c r="R81" s="670"/>
      <c r="S81" s="670"/>
      <c r="T81" s="670"/>
      <c r="U81" s="670"/>
      <c r="V81" s="669"/>
      <c r="W81" s="670">
        <v>0</v>
      </c>
      <c r="X81" s="670"/>
      <c r="Y81" s="670"/>
      <c r="Z81" s="670"/>
      <c r="AA81" s="670"/>
    </row>
    <row r="82" spans="1:27" x14ac:dyDescent="0.55000000000000004">
      <c r="A82" s="640">
        <v>2</v>
      </c>
      <c r="B82" s="640"/>
      <c r="C82" s="640"/>
      <c r="E82" s="670">
        <v>0</v>
      </c>
      <c r="F82" s="670"/>
      <c r="G82" s="670"/>
      <c r="H82" s="670"/>
      <c r="I82" s="670"/>
      <c r="J82" s="669"/>
      <c r="K82" s="670">
        <v>0</v>
      </c>
      <c r="L82" s="670"/>
      <c r="M82" s="670"/>
      <c r="N82" s="670"/>
      <c r="O82" s="670"/>
      <c r="P82" s="669"/>
      <c r="Q82" s="670">
        <v>0</v>
      </c>
      <c r="R82" s="670"/>
      <c r="S82" s="670"/>
      <c r="T82" s="670"/>
      <c r="U82" s="670"/>
      <c r="V82" s="669"/>
      <c r="W82" s="670">
        <v>0</v>
      </c>
      <c r="X82" s="670"/>
      <c r="Y82" s="670"/>
      <c r="Z82" s="670"/>
      <c r="AA82" s="670"/>
    </row>
    <row r="83" spans="1:27" x14ac:dyDescent="0.55000000000000004">
      <c r="A83" s="640">
        <v>3</v>
      </c>
      <c r="B83" s="640"/>
      <c r="C83" s="640"/>
      <c r="E83" s="670">
        <v>0</v>
      </c>
      <c r="F83" s="670"/>
      <c r="G83" s="670"/>
      <c r="H83" s="670"/>
      <c r="I83" s="670"/>
      <c r="J83" s="669"/>
      <c r="K83" s="670">
        <v>0</v>
      </c>
      <c r="L83" s="670"/>
      <c r="M83" s="670"/>
      <c r="N83" s="670"/>
      <c r="O83" s="670"/>
      <c r="P83" s="669"/>
      <c r="Q83" s="670">
        <v>0</v>
      </c>
      <c r="R83" s="670"/>
      <c r="S83" s="670"/>
      <c r="T83" s="670"/>
      <c r="U83" s="670"/>
      <c r="V83" s="669"/>
      <c r="W83" s="670">
        <v>0</v>
      </c>
      <c r="X83" s="670"/>
      <c r="Y83" s="670"/>
      <c r="Z83" s="670"/>
      <c r="AA83" s="670"/>
    </row>
    <row r="84" spans="1:27" x14ac:dyDescent="0.55000000000000004">
      <c r="A84" s="640">
        <v>4</v>
      </c>
      <c r="B84" s="640"/>
      <c r="C84" s="640"/>
      <c r="E84" s="670">
        <v>0</v>
      </c>
      <c r="F84" s="670"/>
      <c r="G84" s="670"/>
      <c r="H84" s="670"/>
      <c r="I84" s="670"/>
      <c r="J84" s="669"/>
      <c r="K84" s="670">
        <v>0</v>
      </c>
      <c r="L84" s="670"/>
      <c r="M84" s="670"/>
      <c r="N84" s="670"/>
      <c r="O84" s="670"/>
      <c r="P84" s="669"/>
      <c r="Q84" s="670">
        <v>0</v>
      </c>
      <c r="R84" s="670"/>
      <c r="S84" s="670"/>
      <c r="T84" s="670"/>
      <c r="U84" s="670"/>
      <c r="V84" s="669"/>
      <c r="W84" s="670">
        <v>0</v>
      </c>
      <c r="X84" s="670"/>
      <c r="Y84" s="670"/>
      <c r="Z84" s="670"/>
      <c r="AA84" s="670"/>
    </row>
    <row r="85" spans="1:27" x14ac:dyDescent="0.55000000000000004">
      <c r="A85" s="640">
        <v>5</v>
      </c>
      <c r="B85" s="640"/>
      <c r="C85" s="640"/>
      <c r="E85" s="670">
        <v>0</v>
      </c>
      <c r="F85" s="670"/>
      <c r="G85" s="670"/>
      <c r="H85" s="670"/>
      <c r="I85" s="670"/>
      <c r="J85" s="669"/>
      <c r="K85" s="670">
        <v>0</v>
      </c>
      <c r="L85" s="670"/>
      <c r="M85" s="670"/>
      <c r="N85" s="670"/>
      <c r="O85" s="670"/>
      <c r="P85" s="669"/>
      <c r="Q85" s="670">
        <v>0</v>
      </c>
      <c r="R85" s="670"/>
      <c r="S85" s="670"/>
      <c r="T85" s="670"/>
      <c r="U85" s="670"/>
      <c r="V85" s="669"/>
      <c r="W85" s="670">
        <v>0</v>
      </c>
      <c r="X85" s="670"/>
      <c r="Y85" s="670"/>
      <c r="Z85" s="670"/>
      <c r="AA85" s="670"/>
    </row>
    <row r="86" spans="1:27" x14ac:dyDescent="0.55000000000000004">
      <c r="A86" s="640">
        <v>6</v>
      </c>
      <c r="B86" s="640"/>
      <c r="C86" s="640"/>
      <c r="E86" s="670">
        <v>0</v>
      </c>
      <c r="F86" s="670"/>
      <c r="G86" s="670"/>
      <c r="H86" s="670"/>
      <c r="I86" s="670"/>
      <c r="J86" s="669"/>
      <c r="K86" s="670">
        <v>0</v>
      </c>
      <c r="L86" s="670"/>
      <c r="M86" s="670"/>
      <c r="N86" s="670"/>
      <c r="O86" s="670"/>
      <c r="P86" s="669"/>
      <c r="Q86" s="670">
        <v>0</v>
      </c>
      <c r="R86" s="670"/>
      <c r="S86" s="670"/>
      <c r="T86" s="670"/>
      <c r="U86" s="670"/>
      <c r="V86" s="669"/>
      <c r="W86" s="670">
        <v>0</v>
      </c>
      <c r="X86" s="670"/>
      <c r="Y86" s="670"/>
      <c r="Z86" s="670"/>
      <c r="AA86" s="670"/>
    </row>
    <row r="87" spans="1:27" x14ac:dyDescent="0.55000000000000004">
      <c r="A87" s="640">
        <v>7</v>
      </c>
      <c r="B87" s="640"/>
      <c r="C87" s="640"/>
      <c r="E87" s="670">
        <v>0</v>
      </c>
      <c r="F87" s="670"/>
      <c r="G87" s="670"/>
      <c r="H87" s="670"/>
      <c r="I87" s="670"/>
      <c r="J87" s="669"/>
      <c r="K87" s="670">
        <v>0</v>
      </c>
      <c r="L87" s="670"/>
      <c r="M87" s="670"/>
      <c r="N87" s="670"/>
      <c r="O87" s="670"/>
      <c r="P87" s="669"/>
      <c r="Q87" s="670">
        <v>0</v>
      </c>
      <c r="R87" s="670"/>
      <c r="S87" s="670"/>
      <c r="T87" s="670"/>
      <c r="U87" s="670"/>
      <c r="V87" s="669"/>
      <c r="W87" s="670">
        <v>0</v>
      </c>
      <c r="X87" s="670"/>
      <c r="Y87" s="670"/>
      <c r="Z87" s="670"/>
      <c r="AA87" s="670"/>
    </row>
    <row r="88" spans="1:27" x14ac:dyDescent="0.55000000000000004">
      <c r="A88" s="640">
        <v>8</v>
      </c>
      <c r="B88" s="640"/>
      <c r="C88" s="640"/>
      <c r="E88" s="670">
        <v>0</v>
      </c>
      <c r="F88" s="670"/>
      <c r="G88" s="670"/>
      <c r="H88" s="670"/>
      <c r="I88" s="670"/>
      <c r="J88" s="669"/>
      <c r="K88" s="670">
        <v>0</v>
      </c>
      <c r="L88" s="670"/>
      <c r="M88" s="670"/>
      <c r="N88" s="670"/>
      <c r="O88" s="670"/>
      <c r="P88" s="669"/>
      <c r="Q88" s="670">
        <v>0</v>
      </c>
      <c r="R88" s="670"/>
      <c r="S88" s="670"/>
      <c r="T88" s="670"/>
      <c r="U88" s="670"/>
      <c r="V88" s="669"/>
      <c r="W88" s="670">
        <v>0</v>
      </c>
      <c r="X88" s="670"/>
      <c r="Y88" s="670"/>
      <c r="Z88" s="670"/>
      <c r="AA88" s="670"/>
    </row>
    <row r="89" spans="1:27" x14ac:dyDescent="0.55000000000000004">
      <c r="A89" s="640">
        <v>9</v>
      </c>
      <c r="B89" s="640"/>
      <c r="C89" s="640"/>
      <c r="E89" s="670">
        <v>0</v>
      </c>
      <c r="F89" s="670"/>
      <c r="G89" s="670"/>
      <c r="H89" s="670"/>
      <c r="I89" s="670"/>
      <c r="J89" s="669"/>
      <c r="K89" s="670">
        <v>0</v>
      </c>
      <c r="L89" s="670"/>
      <c r="M89" s="670"/>
      <c r="N89" s="670"/>
      <c r="O89" s="670"/>
      <c r="P89" s="669"/>
      <c r="Q89" s="670">
        <v>0</v>
      </c>
      <c r="R89" s="670"/>
      <c r="S89" s="670"/>
      <c r="T89" s="670"/>
      <c r="U89" s="670"/>
      <c r="V89" s="669"/>
      <c r="W89" s="670">
        <v>0</v>
      </c>
      <c r="X89" s="670"/>
      <c r="Y89" s="670"/>
      <c r="Z89" s="670"/>
      <c r="AA89" s="670"/>
    </row>
    <row r="90" spans="1:27" x14ac:dyDescent="0.55000000000000004">
      <c r="A90" s="659"/>
      <c r="B90" s="659"/>
      <c r="C90" s="659"/>
      <c r="D90" s="659"/>
      <c r="E90" s="671"/>
      <c r="F90" s="671"/>
      <c r="G90" s="671"/>
      <c r="H90" s="671"/>
      <c r="I90" s="671"/>
      <c r="J90" s="671"/>
      <c r="K90" s="671"/>
      <c r="L90" s="671"/>
      <c r="M90" s="671"/>
      <c r="N90" s="671"/>
      <c r="O90" s="671"/>
      <c r="P90" s="671"/>
      <c r="Q90" s="671"/>
      <c r="R90" s="671"/>
      <c r="S90" s="671"/>
      <c r="T90" s="671"/>
      <c r="U90" s="671"/>
      <c r="V90" s="671"/>
      <c r="W90" s="671"/>
      <c r="X90" s="671"/>
      <c r="Y90" s="671"/>
      <c r="Z90" s="671"/>
      <c r="AA90" s="671"/>
    </row>
    <row r="91" spans="1:27" x14ac:dyDescent="0.55000000000000004">
      <c r="A91" s="646" t="s">
        <v>220</v>
      </c>
      <c r="B91" s="646"/>
      <c r="C91" s="646"/>
      <c r="D91" s="632"/>
      <c r="E91" s="672">
        <f>SUM(E80:I89)</f>
        <v>0</v>
      </c>
      <c r="F91" s="672"/>
      <c r="G91" s="672"/>
      <c r="H91" s="672"/>
      <c r="I91" s="672"/>
      <c r="J91" s="673"/>
      <c r="K91" s="672">
        <f>SUM(K80:O89)</f>
        <v>0</v>
      </c>
      <c r="L91" s="672"/>
      <c r="M91" s="672"/>
      <c r="N91" s="672"/>
      <c r="O91" s="672"/>
      <c r="P91" s="673"/>
      <c r="Q91" s="672">
        <f>Q89</f>
        <v>0</v>
      </c>
      <c r="R91" s="672"/>
      <c r="S91" s="672"/>
      <c r="T91" s="672"/>
      <c r="U91" s="672"/>
      <c r="V91" s="673"/>
      <c r="W91" s="672">
        <f>W89</f>
        <v>0</v>
      </c>
      <c r="X91" s="672"/>
      <c r="Y91" s="672"/>
      <c r="Z91" s="672"/>
      <c r="AA91" s="672"/>
    </row>
    <row r="93" spans="1:27" ht="16.8" x14ac:dyDescent="0.75">
      <c r="A93" s="640" t="s">
        <v>222</v>
      </c>
      <c r="B93" s="640"/>
      <c r="C93" s="640"/>
      <c r="E93" s="633" t="s">
        <v>186</v>
      </c>
      <c r="G93" s="640">
        <f>W91/V29</f>
        <v>0</v>
      </c>
      <c r="H93" s="640"/>
      <c r="I93" s="640"/>
      <c r="J93" s="640"/>
      <c r="K93" s="633" t="s">
        <v>202</v>
      </c>
    </row>
    <row r="96" spans="1:27" x14ac:dyDescent="0.55000000000000004">
      <c r="A96" s="632" t="s">
        <v>223</v>
      </c>
    </row>
    <row r="97" spans="1:40" ht="16.8" x14ac:dyDescent="0.75">
      <c r="A97" s="633" t="s">
        <v>154</v>
      </c>
      <c r="E97" s="633" t="s">
        <v>186</v>
      </c>
      <c r="G97" s="640">
        <f>E17/(R14*AE14)</f>
        <v>8246.1498139699324</v>
      </c>
      <c r="H97" s="640"/>
      <c r="I97" s="640"/>
      <c r="K97" s="633" t="s">
        <v>202</v>
      </c>
      <c r="V97" s="633">
        <v>1</v>
      </c>
    </row>
    <row r="99" spans="1:40" ht="16.8" x14ac:dyDescent="0.75">
      <c r="A99" s="636" t="s">
        <v>131</v>
      </c>
      <c r="E99" s="633" t="s">
        <v>186</v>
      </c>
      <c r="G99" s="640">
        <f>MAX(G93,G74)</f>
        <v>771.1111111111112</v>
      </c>
      <c r="H99" s="640"/>
      <c r="I99" s="640"/>
      <c r="K99" s="633" t="s">
        <v>202</v>
      </c>
    </row>
    <row r="101" spans="1:40" ht="16.8" x14ac:dyDescent="0.75">
      <c r="A101" s="636" t="s">
        <v>222</v>
      </c>
      <c r="E101" s="633" t="s">
        <v>186</v>
      </c>
      <c r="G101" s="640">
        <f>MIN(G93,G74)</f>
        <v>0</v>
      </c>
      <c r="H101" s="640"/>
      <c r="I101" s="640"/>
      <c r="K101" s="633" t="s">
        <v>202</v>
      </c>
    </row>
    <row r="102" spans="1:40" x14ac:dyDescent="0.55000000000000004">
      <c r="G102" s="641"/>
      <c r="H102" s="641"/>
      <c r="I102" s="641"/>
    </row>
    <row r="103" spans="1:40" x14ac:dyDescent="0.55000000000000004">
      <c r="A103" s="632" t="s">
        <v>226</v>
      </c>
      <c r="G103" s="641"/>
      <c r="H103" s="641"/>
      <c r="I103" s="641"/>
    </row>
    <row r="104" spans="1:40" x14ac:dyDescent="0.55000000000000004">
      <c r="A104" s="646" t="s">
        <v>228</v>
      </c>
      <c r="B104" s="646"/>
      <c r="C104" s="646"/>
      <c r="D104" s="646"/>
      <c r="E104" s="639"/>
      <c r="F104" s="639"/>
      <c r="G104" s="639"/>
      <c r="H104" s="639"/>
      <c r="I104" s="639"/>
      <c r="J104" s="639"/>
      <c r="K104" s="639"/>
      <c r="L104" s="639"/>
      <c r="M104" s="639"/>
      <c r="N104" s="639"/>
      <c r="O104" s="639"/>
      <c r="P104" s="639"/>
      <c r="Q104" s="639"/>
      <c r="R104" s="639"/>
      <c r="S104" s="639"/>
      <c r="T104" s="639"/>
      <c r="U104" s="639"/>
      <c r="V104" s="639"/>
      <c r="W104" s="639"/>
      <c r="X104" s="639"/>
      <c r="Y104" s="639"/>
      <c r="Z104" s="639"/>
      <c r="AA104" s="639"/>
      <c r="AB104" s="639"/>
      <c r="AC104" s="639"/>
      <c r="AD104" s="639"/>
      <c r="AE104" s="639"/>
      <c r="AF104" s="639"/>
      <c r="AG104" s="639"/>
      <c r="AH104" s="639"/>
      <c r="AI104" s="639"/>
      <c r="AJ104" s="639"/>
      <c r="AK104" s="639"/>
      <c r="AL104" s="639"/>
      <c r="AM104" s="639"/>
    </row>
    <row r="105" spans="1:40" x14ac:dyDescent="0.55000000000000004">
      <c r="A105" s="639"/>
      <c r="B105" s="639"/>
      <c r="C105" s="639"/>
      <c r="D105" s="639"/>
      <c r="E105" s="639"/>
      <c r="F105" s="639"/>
      <c r="G105" s="639"/>
      <c r="H105" s="639"/>
      <c r="I105" s="639"/>
      <c r="J105" s="639"/>
      <c r="K105" s="639"/>
      <c r="L105" s="639"/>
      <c r="M105" s="639"/>
      <c r="N105" s="639"/>
      <c r="O105" s="639"/>
      <c r="P105" s="639"/>
      <c r="Q105" s="639"/>
      <c r="R105" s="639"/>
      <c r="S105" s="639"/>
      <c r="T105" s="639"/>
      <c r="U105" s="639"/>
      <c r="V105" s="639"/>
      <c r="W105" s="639"/>
      <c r="X105" s="639"/>
      <c r="Y105" s="639"/>
      <c r="Z105" s="639"/>
      <c r="AA105" s="639"/>
      <c r="AB105" s="639"/>
      <c r="AC105" s="639"/>
      <c r="AD105" s="639"/>
      <c r="AE105" s="639"/>
      <c r="AF105" s="639"/>
      <c r="AG105" s="639"/>
      <c r="AH105" s="639"/>
      <c r="AI105" s="639"/>
      <c r="AJ105" s="639"/>
      <c r="AK105" s="639"/>
      <c r="AL105" s="639"/>
      <c r="AM105" s="639"/>
    </row>
    <row r="106" spans="1:40" ht="15.6" customHeight="1" x14ac:dyDescent="0.55000000000000004">
      <c r="A106" s="660" t="s">
        <v>178</v>
      </c>
      <c r="B106" s="661"/>
      <c r="C106" s="661"/>
      <c r="D106" s="639"/>
      <c r="E106" s="662" t="s">
        <v>186</v>
      </c>
      <c r="F106" s="639"/>
      <c r="G106" s="662" t="s">
        <v>229</v>
      </c>
      <c r="H106" s="663">
        <f>G97</f>
        <v>8246.1498139699324</v>
      </c>
      <c r="I106" s="663"/>
      <c r="J106" s="663"/>
      <c r="K106" s="663"/>
      <c r="L106" s="662" t="s">
        <v>230</v>
      </c>
      <c r="M106" s="664">
        <v>2</v>
      </c>
      <c r="N106" s="662" t="s">
        <v>231</v>
      </c>
      <c r="O106" s="639"/>
      <c r="P106" s="663">
        <f>G99</f>
        <v>771.1111111111112</v>
      </c>
      <c r="Q106" s="663"/>
      <c r="R106" s="663"/>
      <c r="S106" s="665"/>
      <c r="T106" s="666" t="s">
        <v>211</v>
      </c>
      <c r="U106" s="663">
        <f>IF(AE106=0,1,1)</f>
        <v>1</v>
      </c>
      <c r="V106" s="663"/>
      <c r="X106" s="667" t="s">
        <v>231</v>
      </c>
      <c r="Y106" s="639"/>
      <c r="Z106" s="663">
        <f>G101</f>
        <v>0</v>
      </c>
      <c r="AA106" s="663"/>
      <c r="AB106" s="663"/>
      <c r="AC106" s="665"/>
      <c r="AD106" s="666" t="s">
        <v>211</v>
      </c>
      <c r="AE106" s="630">
        <f>IF(Z106=0,0,0.7)</f>
        <v>0</v>
      </c>
      <c r="AF106" s="630"/>
      <c r="AG106" s="639"/>
      <c r="AH106" s="667" t="s">
        <v>186</v>
      </c>
      <c r="AI106" s="639"/>
      <c r="AJ106" s="629">
        <f>(H106/H107)^2+(P106*U106)/P107+(Z106*AE106)/Z107</f>
        <v>0.4668344468596376</v>
      </c>
      <c r="AK106" s="629"/>
      <c r="AL106" s="629"/>
      <c r="AM106" s="629"/>
      <c r="AN106" s="667"/>
    </row>
    <row r="107" spans="1:40" x14ac:dyDescent="0.55000000000000004">
      <c r="A107" s="661"/>
      <c r="B107" s="661"/>
      <c r="C107" s="661"/>
      <c r="D107" s="639"/>
      <c r="E107" s="662"/>
      <c r="F107" s="639"/>
      <c r="G107" s="662"/>
      <c r="H107" s="668">
        <f>F34</f>
        <v>12923.076923076922</v>
      </c>
      <c r="I107" s="668"/>
      <c r="J107" s="668"/>
      <c r="K107" s="668"/>
      <c r="L107" s="662"/>
      <c r="M107" s="639"/>
      <c r="N107" s="662"/>
      <c r="O107" s="639"/>
      <c r="P107" s="668">
        <f>V34</f>
        <v>12923.076923076922</v>
      </c>
      <c r="Q107" s="668"/>
      <c r="R107" s="668"/>
      <c r="S107" s="668"/>
      <c r="T107" s="668"/>
      <c r="U107" s="668"/>
      <c r="V107" s="668"/>
      <c r="X107" s="667"/>
      <c r="Y107" s="639"/>
      <c r="Z107" s="668">
        <f>P107</f>
        <v>12923.076923076922</v>
      </c>
      <c r="AA107" s="668"/>
      <c r="AB107" s="668"/>
      <c r="AC107" s="668"/>
      <c r="AD107" s="668"/>
      <c r="AE107" s="668"/>
      <c r="AF107" s="668"/>
      <c r="AG107" s="639"/>
      <c r="AH107" s="667"/>
      <c r="AI107" s="639"/>
      <c r="AJ107" s="631"/>
      <c r="AK107" s="631"/>
      <c r="AL107" s="631"/>
      <c r="AM107" s="631"/>
      <c r="AN107" s="667"/>
    </row>
    <row r="108" spans="1:40" x14ac:dyDescent="0.55000000000000004">
      <c r="AJ108" s="627"/>
      <c r="AK108" s="627"/>
      <c r="AL108" s="627"/>
      <c r="AM108" s="627"/>
    </row>
    <row r="109" spans="1:40" x14ac:dyDescent="0.55000000000000004">
      <c r="A109" s="660" t="s">
        <v>178</v>
      </c>
      <c r="B109" s="661"/>
      <c r="C109" s="661"/>
      <c r="D109" s="639"/>
      <c r="E109" s="662" t="s">
        <v>186</v>
      </c>
      <c r="F109" s="639"/>
      <c r="G109" s="662" t="s">
        <v>229</v>
      </c>
      <c r="H109" s="663">
        <f>H106</f>
        <v>8246.1498139699324</v>
      </c>
      <c r="I109" s="663"/>
      <c r="J109" s="663"/>
      <c r="K109" s="663"/>
      <c r="L109" s="662" t="s">
        <v>230</v>
      </c>
      <c r="M109" s="664">
        <v>2</v>
      </c>
      <c r="N109" s="662" t="s">
        <v>231</v>
      </c>
      <c r="O109" s="639"/>
      <c r="P109" s="663">
        <f>P106</f>
        <v>771.1111111111112</v>
      </c>
      <c r="Q109" s="663"/>
      <c r="R109" s="663"/>
      <c r="S109" s="665"/>
      <c r="T109" s="666" t="s">
        <v>211</v>
      </c>
      <c r="U109" s="630">
        <f>IF(AE109=0,1,0.7)</f>
        <v>1</v>
      </c>
      <c r="V109" s="630"/>
      <c r="X109" s="667" t="s">
        <v>231</v>
      </c>
      <c r="Y109" s="639"/>
      <c r="Z109" s="663">
        <f>Z106</f>
        <v>0</v>
      </c>
      <c r="AA109" s="663"/>
      <c r="AB109" s="663"/>
      <c r="AC109" s="665"/>
      <c r="AD109" s="666" t="s">
        <v>211</v>
      </c>
      <c r="AE109" s="663">
        <f>IF(Z109=0,0,1)</f>
        <v>0</v>
      </c>
      <c r="AF109" s="663"/>
      <c r="AG109" s="639"/>
      <c r="AH109" s="667" t="s">
        <v>186</v>
      </c>
      <c r="AI109" s="639"/>
      <c r="AJ109" s="629">
        <f>(H109/H110)^2+(P109*U109)/P110+(Z109*AE109)/Z110</f>
        <v>0.4668344468596376</v>
      </c>
      <c r="AK109" s="629"/>
      <c r="AL109" s="629"/>
      <c r="AM109" s="629"/>
    </row>
    <row r="110" spans="1:40" x14ac:dyDescent="0.55000000000000004">
      <c r="A110" s="661"/>
      <c r="B110" s="661"/>
      <c r="C110" s="661"/>
      <c r="D110" s="639"/>
      <c r="E110" s="662"/>
      <c r="F110" s="639"/>
      <c r="G110" s="662"/>
      <c r="H110" s="668">
        <f>H107</f>
        <v>12923.076923076922</v>
      </c>
      <c r="I110" s="668"/>
      <c r="J110" s="668"/>
      <c r="K110" s="668"/>
      <c r="L110" s="662"/>
      <c r="M110" s="639"/>
      <c r="N110" s="662"/>
      <c r="O110" s="639"/>
      <c r="P110" s="668">
        <f>P107</f>
        <v>12923.076923076922</v>
      </c>
      <c r="Q110" s="668"/>
      <c r="R110" s="668"/>
      <c r="S110" s="668"/>
      <c r="T110" s="668"/>
      <c r="U110" s="668"/>
      <c r="V110" s="668"/>
      <c r="X110" s="667"/>
      <c r="Y110" s="639"/>
      <c r="Z110" s="668">
        <f>P110</f>
        <v>12923.076923076922</v>
      </c>
      <c r="AA110" s="668"/>
      <c r="AB110" s="668"/>
      <c r="AC110" s="668"/>
      <c r="AD110" s="668"/>
      <c r="AE110" s="668"/>
      <c r="AF110" s="668"/>
      <c r="AG110" s="639"/>
      <c r="AH110" s="667"/>
      <c r="AI110" s="639"/>
      <c r="AJ110" s="631"/>
      <c r="AK110" s="631"/>
      <c r="AL110" s="631"/>
      <c r="AM110" s="631"/>
    </row>
    <row r="111" spans="1:40" x14ac:dyDescent="0.55000000000000004">
      <c r="AJ111" s="627"/>
      <c r="AK111" s="627"/>
      <c r="AL111" s="627"/>
      <c r="AM111" s="627"/>
    </row>
  </sheetData>
  <mergeCells count="211">
    <mergeCell ref="P106:R106"/>
    <mergeCell ref="U106:V106"/>
    <mergeCell ref="P107:V107"/>
    <mergeCell ref="Z106:AB106"/>
    <mergeCell ref="AE106:AF106"/>
    <mergeCell ref="Z107:AF107"/>
    <mergeCell ref="AJ106:AM106"/>
    <mergeCell ref="A109:C110"/>
    <mergeCell ref="E109:E110"/>
    <mergeCell ref="G109:G110"/>
    <mergeCell ref="H109:K109"/>
    <mergeCell ref="L109:L110"/>
    <mergeCell ref="N109:N110"/>
    <mergeCell ref="P109:R109"/>
    <mergeCell ref="U109:V109"/>
    <mergeCell ref="Z109:AB109"/>
    <mergeCell ref="AE109:AF109"/>
    <mergeCell ref="AJ109:AM109"/>
    <mergeCell ref="H110:K110"/>
    <mergeCell ref="P110:V110"/>
    <mergeCell ref="Z110:AF110"/>
    <mergeCell ref="N106:N107"/>
    <mergeCell ref="H107:K107"/>
    <mergeCell ref="G97:I97"/>
    <mergeCell ref="G99:I99"/>
    <mergeCell ref="G101:I101"/>
    <mergeCell ref="A104:D104"/>
    <mergeCell ref="A106:C107"/>
    <mergeCell ref="E106:E107"/>
    <mergeCell ref="G106:G107"/>
    <mergeCell ref="H106:K106"/>
    <mergeCell ref="L106:L107"/>
    <mergeCell ref="A91:C91"/>
    <mergeCell ref="E91:I91"/>
    <mergeCell ref="K91:O91"/>
    <mergeCell ref="Q91:U91"/>
    <mergeCell ref="W91:AA91"/>
    <mergeCell ref="A93:C93"/>
    <mergeCell ref="G93:J93"/>
    <mergeCell ref="A88:C88"/>
    <mergeCell ref="E88:I88"/>
    <mergeCell ref="K88:O88"/>
    <mergeCell ref="Q88:U88"/>
    <mergeCell ref="W88:AA88"/>
    <mergeCell ref="A89:C89"/>
    <mergeCell ref="E89:I89"/>
    <mergeCell ref="K89:O89"/>
    <mergeCell ref="Q89:U89"/>
    <mergeCell ref="W89:AA89"/>
    <mergeCell ref="A86:C86"/>
    <mergeCell ref="E86:I86"/>
    <mergeCell ref="K86:O86"/>
    <mergeCell ref="Q86:U86"/>
    <mergeCell ref="W86:AA86"/>
    <mergeCell ref="A87:C87"/>
    <mergeCell ref="E87:I87"/>
    <mergeCell ref="K87:O87"/>
    <mergeCell ref="Q87:U87"/>
    <mergeCell ref="W87:AA87"/>
    <mergeCell ref="A84:C84"/>
    <mergeCell ref="E84:I84"/>
    <mergeCell ref="K84:O84"/>
    <mergeCell ref="Q84:U84"/>
    <mergeCell ref="W84:AA84"/>
    <mergeCell ref="A85:C85"/>
    <mergeCell ref="E85:I85"/>
    <mergeCell ref="K85:O85"/>
    <mergeCell ref="Q85:U85"/>
    <mergeCell ref="W85:AA85"/>
    <mergeCell ref="A82:C82"/>
    <mergeCell ref="E82:I82"/>
    <mergeCell ref="K82:O82"/>
    <mergeCell ref="Q82:U82"/>
    <mergeCell ref="W82:AA82"/>
    <mergeCell ref="A83:C83"/>
    <mergeCell ref="E83:I83"/>
    <mergeCell ref="K83:O83"/>
    <mergeCell ref="Q83:U83"/>
    <mergeCell ref="W83:AA83"/>
    <mergeCell ref="A80:C80"/>
    <mergeCell ref="E80:I80"/>
    <mergeCell ref="K80:O80"/>
    <mergeCell ref="Q80:U80"/>
    <mergeCell ref="W80:AA80"/>
    <mergeCell ref="A81:C81"/>
    <mergeCell ref="E81:I81"/>
    <mergeCell ref="K81:O81"/>
    <mergeCell ref="Q81:U81"/>
    <mergeCell ref="W81:AA81"/>
    <mergeCell ref="A78:C78"/>
    <mergeCell ref="E78:I78"/>
    <mergeCell ref="K78:O78"/>
    <mergeCell ref="Q78:U78"/>
    <mergeCell ref="W78:AA78"/>
    <mergeCell ref="A79:C79"/>
    <mergeCell ref="E79:I79"/>
    <mergeCell ref="K79:O79"/>
    <mergeCell ref="Q79:U79"/>
    <mergeCell ref="W79:AA79"/>
    <mergeCell ref="A72:C72"/>
    <mergeCell ref="E72:I72"/>
    <mergeCell ref="K72:O72"/>
    <mergeCell ref="Q72:U72"/>
    <mergeCell ref="W72:AA72"/>
    <mergeCell ref="A74:C74"/>
    <mergeCell ref="G74:J74"/>
    <mergeCell ref="A69:C69"/>
    <mergeCell ref="E69:I69"/>
    <mergeCell ref="K69:O69"/>
    <mergeCell ref="Q69:U69"/>
    <mergeCell ref="W69:AA69"/>
    <mergeCell ref="A70:C70"/>
    <mergeCell ref="E70:I70"/>
    <mergeCell ref="K70:O70"/>
    <mergeCell ref="Q70:U70"/>
    <mergeCell ref="W70:AA70"/>
    <mergeCell ref="A67:C67"/>
    <mergeCell ref="E67:I67"/>
    <mergeCell ref="K67:O67"/>
    <mergeCell ref="Q67:U67"/>
    <mergeCell ref="W67:AA67"/>
    <mergeCell ref="A68:C68"/>
    <mergeCell ref="E68:I68"/>
    <mergeCell ref="K68:O68"/>
    <mergeCell ref="Q68:U68"/>
    <mergeCell ref="W68:AA68"/>
    <mergeCell ref="A65:C65"/>
    <mergeCell ref="E65:I65"/>
    <mergeCell ref="K65:O65"/>
    <mergeCell ref="Q65:U65"/>
    <mergeCell ref="W65:AA65"/>
    <mergeCell ref="A66:C66"/>
    <mergeCell ref="E66:I66"/>
    <mergeCell ref="K66:O66"/>
    <mergeCell ref="Q66:U66"/>
    <mergeCell ref="W66:AA66"/>
    <mergeCell ref="A63:C63"/>
    <mergeCell ref="E63:I63"/>
    <mergeCell ref="K63:O63"/>
    <mergeCell ref="Q63:U63"/>
    <mergeCell ref="W63:AA63"/>
    <mergeCell ref="A64:C64"/>
    <mergeCell ref="E64:I64"/>
    <mergeCell ref="K64:O64"/>
    <mergeCell ref="Q64:U64"/>
    <mergeCell ref="W64:AA64"/>
    <mergeCell ref="A61:C61"/>
    <mergeCell ref="E61:I61"/>
    <mergeCell ref="K61:O61"/>
    <mergeCell ref="Q61:U61"/>
    <mergeCell ref="W61:AA61"/>
    <mergeCell ref="A62:C62"/>
    <mergeCell ref="E62:I62"/>
    <mergeCell ref="K62:O62"/>
    <mergeCell ref="Q62:U62"/>
    <mergeCell ref="W62:AA62"/>
    <mergeCell ref="A60:C60"/>
    <mergeCell ref="E60:I60"/>
    <mergeCell ref="K60:O60"/>
    <mergeCell ref="Q60:U60"/>
    <mergeCell ref="W60:AA60"/>
    <mergeCell ref="A51:C51"/>
    <mergeCell ref="G51:I51"/>
    <mergeCell ref="K51:M51"/>
    <mergeCell ref="Q51:S51"/>
    <mergeCell ref="A59:C59"/>
    <mergeCell ref="E59:I59"/>
    <mergeCell ref="K59:O59"/>
    <mergeCell ref="Q59:U59"/>
    <mergeCell ref="A49:C49"/>
    <mergeCell ref="G49:I49"/>
    <mergeCell ref="A50:C50"/>
    <mergeCell ref="G50:I50"/>
    <mergeCell ref="K50:M50"/>
    <mergeCell ref="Q50:S50"/>
    <mergeCell ref="R37:V37"/>
    <mergeCell ref="R40:V40"/>
    <mergeCell ref="W59:AA59"/>
    <mergeCell ref="AA40:AC40"/>
    <mergeCell ref="AE40:AF40"/>
    <mergeCell ref="AH40:AK40"/>
    <mergeCell ref="A43:C43"/>
    <mergeCell ref="R43:V43"/>
    <mergeCell ref="AH43:AJ43"/>
    <mergeCell ref="G32:J32"/>
    <mergeCell ref="F21:H21"/>
    <mergeCell ref="V21:X21"/>
    <mergeCell ref="F31:H31"/>
    <mergeCell ref="V30:X30"/>
    <mergeCell ref="F22:J22"/>
    <mergeCell ref="V31:X31"/>
    <mergeCell ref="F34:H34"/>
    <mergeCell ref="V34:X34"/>
    <mergeCell ref="F35:I35"/>
    <mergeCell ref="F30:H30"/>
    <mergeCell ref="E20:G20"/>
    <mergeCell ref="U24:W24"/>
    <mergeCell ref="A8:AM8"/>
    <mergeCell ref="A9:AM9"/>
    <mergeCell ref="A10:AM10"/>
    <mergeCell ref="E17:G17"/>
    <mergeCell ref="R17:T17"/>
    <mergeCell ref="AE17:AG17"/>
    <mergeCell ref="E14:G14"/>
    <mergeCell ref="R14:T14"/>
    <mergeCell ref="AE14:AG14"/>
    <mergeCell ref="F25:H25"/>
    <mergeCell ref="V25:X25"/>
    <mergeCell ref="E23:G23"/>
    <mergeCell ref="F29:H29"/>
    <mergeCell ref="V29:X29"/>
  </mergeCells>
  <pageMargins left="0.7" right="0.7" top="0.75" bottom="0.75" header="0.3" footer="0.3"/>
  <pageSetup paperSize="9" orientation="portrait" r:id="rId1"/>
  <headerFooter>
    <oddHeader>&amp;L&amp;11Stützenbemessung&amp;C&amp;"-,Bold"Theorie II. Ordnung&amp;R&amp;"-,Italic"&amp;11DIN EN 1995-1-1:2010-12</oddHeader>
    <oddFooter>&amp;L&amp;11&amp;K00-048&amp;D&amp;R&amp;11&amp;K00-048&amp;P</oddFooter>
  </headerFooter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E50835-9D35-4781-8F6B-EEE1CC95485F}">
  <sheetPr codeName="Sheet9">
    <tabColor theme="1" tint="0.34998626667073579"/>
  </sheetPr>
  <dimension ref="A2:AP115"/>
  <sheetViews>
    <sheetView showGridLines="0" view="pageLayout" topLeftCell="A4" zoomScale="70" zoomScaleNormal="100" zoomScalePageLayoutView="70" workbookViewId="0">
      <selection activeCell="AG21" sqref="AG21"/>
    </sheetView>
  </sheetViews>
  <sheetFormatPr defaultRowHeight="14.4" x14ac:dyDescent="0.55000000000000004"/>
  <cols>
    <col min="1" max="39" width="1.84765625" style="35" customWidth="1"/>
    <col min="40" max="43" width="8.796875" style="35"/>
    <col min="44" max="45" width="8.796875" style="35" customWidth="1"/>
    <col min="46" max="16384" width="8.796875" style="35"/>
  </cols>
  <sheetData>
    <row r="2" spans="1:39" x14ac:dyDescent="0.55000000000000004">
      <c r="A2" s="37" t="s">
        <v>179</v>
      </c>
    </row>
    <row r="3" spans="1:39" x14ac:dyDescent="0.55000000000000004">
      <c r="A3" s="35" t="s">
        <v>15</v>
      </c>
      <c r="Q3" s="35" t="s">
        <v>16</v>
      </c>
      <c r="W3" s="35" t="s">
        <v>52</v>
      </c>
      <c r="AC3" s="35" t="s">
        <v>17</v>
      </c>
      <c r="AK3" s="35" t="s">
        <v>53</v>
      </c>
    </row>
    <row r="4" spans="1:39" x14ac:dyDescent="0.55000000000000004">
      <c r="A4" s="35" t="s">
        <v>180</v>
      </c>
      <c r="I4" s="38" t="s">
        <v>53</v>
      </c>
    </row>
    <row r="6" spans="1:39" x14ac:dyDescent="0.55000000000000004">
      <c r="A6" s="37" t="s">
        <v>181</v>
      </c>
    </row>
    <row r="7" spans="1:39" x14ac:dyDescent="0.55000000000000004">
      <c r="A7" s="37" t="s">
        <v>182</v>
      </c>
    </row>
    <row r="8" spans="1:39" ht="46.8" customHeight="1" x14ac:dyDescent="0.55000000000000004">
      <c r="A8" s="491" t="s">
        <v>183</v>
      </c>
      <c r="B8" s="491"/>
      <c r="C8" s="491"/>
      <c r="D8" s="491"/>
      <c r="E8" s="491"/>
      <c r="F8" s="491"/>
      <c r="G8" s="491"/>
      <c r="H8" s="491"/>
      <c r="I8" s="491"/>
      <c r="J8" s="491"/>
      <c r="K8" s="491"/>
      <c r="L8" s="491"/>
      <c r="M8" s="491"/>
      <c r="N8" s="491"/>
      <c r="O8" s="491"/>
      <c r="P8" s="491"/>
      <c r="Q8" s="491"/>
      <c r="R8" s="491"/>
      <c r="S8" s="491"/>
      <c r="T8" s="491"/>
      <c r="U8" s="491"/>
      <c r="V8" s="491"/>
      <c r="W8" s="491"/>
      <c r="X8" s="491"/>
      <c r="Y8" s="491"/>
      <c r="Z8" s="491"/>
      <c r="AA8" s="491"/>
      <c r="AB8" s="491"/>
      <c r="AC8" s="491"/>
      <c r="AD8" s="491"/>
      <c r="AE8" s="491"/>
      <c r="AF8" s="491"/>
      <c r="AG8" s="491"/>
      <c r="AH8" s="491"/>
      <c r="AI8" s="491"/>
      <c r="AJ8" s="491"/>
      <c r="AK8" s="491"/>
      <c r="AL8" s="491"/>
      <c r="AM8" s="491"/>
    </row>
    <row r="9" spans="1:39" ht="33.6" customHeight="1" x14ac:dyDescent="0.55000000000000004">
      <c r="A9" s="491" t="s">
        <v>184</v>
      </c>
      <c r="B9" s="491"/>
      <c r="C9" s="491"/>
      <c r="D9" s="491"/>
      <c r="E9" s="491"/>
      <c r="F9" s="491"/>
      <c r="G9" s="491"/>
      <c r="H9" s="491"/>
      <c r="I9" s="491"/>
      <c r="J9" s="491"/>
      <c r="K9" s="491"/>
      <c r="L9" s="491"/>
      <c r="M9" s="491"/>
      <c r="N9" s="491"/>
      <c r="O9" s="491"/>
      <c r="P9" s="491"/>
      <c r="Q9" s="491"/>
      <c r="R9" s="491"/>
      <c r="S9" s="491"/>
      <c r="T9" s="491"/>
      <c r="U9" s="491"/>
      <c r="V9" s="491"/>
      <c r="W9" s="491"/>
      <c r="X9" s="491"/>
      <c r="Y9" s="491"/>
      <c r="Z9" s="491"/>
      <c r="AA9" s="491"/>
      <c r="AB9" s="491"/>
      <c r="AC9" s="491"/>
      <c r="AD9" s="491"/>
      <c r="AE9" s="491"/>
      <c r="AF9" s="491"/>
      <c r="AG9" s="491"/>
      <c r="AH9" s="491"/>
      <c r="AI9" s="491"/>
      <c r="AJ9" s="491"/>
      <c r="AK9" s="491"/>
      <c r="AL9" s="491"/>
      <c r="AM9" s="491"/>
    </row>
    <row r="10" spans="1:39" ht="28.2" customHeight="1" x14ac:dyDescent="0.55000000000000004">
      <c r="A10" s="491" t="s">
        <v>185</v>
      </c>
      <c r="B10" s="491"/>
      <c r="C10" s="491"/>
      <c r="D10" s="491"/>
      <c r="E10" s="491"/>
      <c r="F10" s="491"/>
      <c r="G10" s="491"/>
      <c r="H10" s="491"/>
      <c r="I10" s="491"/>
      <c r="J10" s="491"/>
      <c r="K10" s="491"/>
      <c r="L10" s="491"/>
      <c r="M10" s="491"/>
      <c r="N10" s="491"/>
      <c r="O10" s="491"/>
      <c r="P10" s="491"/>
      <c r="Q10" s="491"/>
      <c r="R10" s="491"/>
      <c r="S10" s="491"/>
      <c r="T10" s="491"/>
      <c r="U10" s="491"/>
      <c r="V10" s="491"/>
      <c r="W10" s="491"/>
      <c r="X10" s="491"/>
      <c r="Y10" s="491"/>
      <c r="Z10" s="491"/>
      <c r="AA10" s="491"/>
      <c r="AB10" s="491"/>
      <c r="AC10" s="491"/>
      <c r="AD10" s="491"/>
      <c r="AE10" s="491"/>
      <c r="AF10" s="491"/>
      <c r="AG10" s="491"/>
      <c r="AH10" s="491"/>
      <c r="AI10" s="491"/>
      <c r="AJ10" s="491"/>
      <c r="AK10" s="491"/>
      <c r="AL10" s="491"/>
      <c r="AM10" s="491"/>
    </row>
    <row r="11" spans="1:39" ht="28.2" customHeight="1" x14ac:dyDescent="0.55000000000000004">
      <c r="A11" s="437"/>
      <c r="B11" s="437"/>
      <c r="C11" s="437"/>
      <c r="D11" s="437"/>
      <c r="E11" s="437"/>
      <c r="F11" s="437"/>
      <c r="G11" s="437"/>
      <c r="H11" s="437"/>
      <c r="I11" s="437"/>
      <c r="J11" s="437"/>
      <c r="K11" s="437"/>
      <c r="L11" s="437"/>
      <c r="M11" s="437"/>
      <c r="N11" s="437"/>
      <c r="O11" s="437"/>
      <c r="P11" s="437"/>
      <c r="Q11" s="437"/>
      <c r="R11" s="437"/>
      <c r="S11" s="437"/>
      <c r="T11" s="437"/>
      <c r="U11" s="437"/>
      <c r="V11" s="437"/>
      <c r="W11" s="437"/>
      <c r="X11" s="437"/>
      <c r="Y11" s="437"/>
      <c r="Z11" s="437"/>
      <c r="AA11" s="437"/>
      <c r="AB11" s="437"/>
      <c r="AC11" s="437"/>
      <c r="AD11" s="437"/>
      <c r="AE11" s="437"/>
      <c r="AF11" s="437"/>
      <c r="AG11" s="437"/>
      <c r="AH11" s="437"/>
      <c r="AI11" s="437"/>
      <c r="AJ11" s="437"/>
      <c r="AK11" s="437"/>
      <c r="AL11" s="437"/>
      <c r="AM11" s="437"/>
    </row>
    <row r="12" spans="1:39" ht="14.7" customHeight="1" x14ac:dyDescent="0.55000000000000004">
      <c r="A12" s="37" t="s">
        <v>350</v>
      </c>
      <c r="B12" s="437"/>
      <c r="C12" s="437"/>
      <c r="D12" s="437"/>
      <c r="E12" s="437"/>
      <c r="F12" s="437"/>
      <c r="G12" s="437"/>
      <c r="H12" s="437"/>
      <c r="I12" s="437"/>
      <c r="J12" s="437"/>
      <c r="K12" s="437"/>
      <c r="L12" s="437"/>
      <c r="M12" s="437"/>
      <c r="N12" s="437"/>
      <c r="O12" s="437"/>
      <c r="P12" s="437"/>
      <c r="Q12" s="437"/>
      <c r="R12" s="437"/>
      <c r="S12" s="437"/>
      <c r="T12" s="437"/>
      <c r="U12" s="437"/>
      <c r="V12" s="437"/>
      <c r="W12" s="437"/>
      <c r="X12" s="437"/>
      <c r="Y12" s="437"/>
      <c r="Z12" s="437"/>
      <c r="AA12" s="437"/>
      <c r="AB12" s="437"/>
      <c r="AC12" s="437"/>
      <c r="AD12" s="437"/>
      <c r="AE12" s="437"/>
      <c r="AF12" s="437"/>
      <c r="AG12" s="437"/>
      <c r="AH12" s="437"/>
      <c r="AI12" s="437"/>
      <c r="AJ12" s="437"/>
      <c r="AK12" s="437"/>
      <c r="AL12" s="437"/>
      <c r="AM12" s="437"/>
    </row>
    <row r="13" spans="1:39" x14ac:dyDescent="0.55000000000000004">
      <c r="A13" s="37" t="s">
        <v>20</v>
      </c>
    </row>
    <row r="14" spans="1:39" ht="16.8" x14ac:dyDescent="0.75">
      <c r="A14" s="35" t="s">
        <v>127</v>
      </c>
      <c r="D14" s="35" t="s">
        <v>186</v>
      </c>
      <c r="E14" s="490">
        <v>3000</v>
      </c>
      <c r="F14" s="490"/>
      <c r="G14" s="490"/>
      <c r="I14" s="35" t="s">
        <v>187</v>
      </c>
      <c r="N14" s="35" t="s">
        <v>128</v>
      </c>
      <c r="Q14" s="35" t="s">
        <v>186</v>
      </c>
      <c r="R14" s="490">
        <v>100</v>
      </c>
      <c r="S14" s="490"/>
      <c r="T14" s="490"/>
      <c r="V14" s="35" t="s">
        <v>188</v>
      </c>
      <c r="AA14" s="35" t="s">
        <v>129</v>
      </c>
      <c r="AD14" s="35" t="s">
        <v>186</v>
      </c>
      <c r="AE14" s="490">
        <v>0</v>
      </c>
      <c r="AF14" s="490"/>
      <c r="AG14" s="490"/>
      <c r="AI14" s="35" t="s">
        <v>188</v>
      </c>
    </row>
    <row r="16" spans="1:39" x14ac:dyDescent="0.55000000000000004">
      <c r="A16" s="37" t="s">
        <v>20</v>
      </c>
    </row>
    <row r="17" spans="1:33" x14ac:dyDescent="0.55000000000000004">
      <c r="A17" s="435" t="s">
        <v>29</v>
      </c>
      <c r="D17" s="436" t="s">
        <v>186</v>
      </c>
      <c r="E17" s="490">
        <v>3.6</v>
      </c>
      <c r="F17" s="490"/>
      <c r="G17" s="490"/>
      <c r="I17" s="35" t="s">
        <v>189</v>
      </c>
      <c r="Q17" s="39"/>
      <c r="R17" s="514">
        <f>E18</f>
        <v>0.65</v>
      </c>
      <c r="S17" s="514"/>
      <c r="T17" s="514"/>
      <c r="U17" s="39" t="s">
        <v>36</v>
      </c>
      <c r="V17" s="509">
        <f>E19</f>
        <v>0.65</v>
      </c>
      <c r="W17" s="509"/>
      <c r="X17" s="509"/>
      <c r="Y17" s="39" t="s">
        <v>190</v>
      </c>
    </row>
    <row r="18" spans="1:33" x14ac:dyDescent="0.55000000000000004">
      <c r="A18" s="435" t="s">
        <v>30</v>
      </c>
      <c r="D18" s="435" t="s">
        <v>186</v>
      </c>
      <c r="E18" s="490">
        <v>0.65</v>
      </c>
      <c r="F18" s="490"/>
      <c r="G18" s="490"/>
      <c r="I18" s="35" t="s">
        <v>189</v>
      </c>
      <c r="N18" s="435" t="s">
        <v>191</v>
      </c>
      <c r="P18" s="435" t="s">
        <v>186</v>
      </c>
      <c r="T18" s="513">
        <v>6</v>
      </c>
      <c r="U18" s="513"/>
      <c r="V18" s="490"/>
      <c r="AA18" s="35" t="s">
        <v>186</v>
      </c>
      <c r="AC18" s="493">
        <v>4.5770833333333344E-2</v>
      </c>
      <c r="AD18" s="493"/>
      <c r="AE18" s="493"/>
      <c r="AG18" s="35" t="s">
        <v>192</v>
      </c>
    </row>
    <row r="19" spans="1:33" x14ac:dyDescent="0.55000000000000004">
      <c r="A19" s="435" t="s">
        <v>31</v>
      </c>
      <c r="D19" s="435" t="s">
        <v>186</v>
      </c>
      <c r="E19" s="490">
        <v>0.65</v>
      </c>
      <c r="F19" s="490"/>
      <c r="G19" s="490"/>
      <c r="I19" s="35" t="s">
        <v>189</v>
      </c>
    </row>
    <row r="20" spans="1:33" x14ac:dyDescent="0.55000000000000004">
      <c r="A20" s="435" t="s">
        <v>193</v>
      </c>
      <c r="D20" s="435" t="s">
        <v>186</v>
      </c>
      <c r="E20" s="490">
        <v>0.42250000000000004</v>
      </c>
      <c r="F20" s="490"/>
      <c r="G20" s="490"/>
      <c r="I20" s="35" t="s">
        <v>194</v>
      </c>
      <c r="Q20" s="39"/>
      <c r="R20" s="514">
        <f>E18</f>
        <v>0.65</v>
      </c>
      <c r="S20" s="514"/>
      <c r="T20" s="514"/>
      <c r="U20" s="39" t="s">
        <v>36</v>
      </c>
      <c r="V20" s="509">
        <f>E19</f>
        <v>0.65</v>
      </c>
      <c r="W20" s="509"/>
      <c r="X20" s="509"/>
      <c r="Y20" s="39" t="s">
        <v>195</v>
      </c>
    </row>
    <row r="21" spans="1:33" x14ac:dyDescent="0.55000000000000004">
      <c r="N21" s="435" t="s">
        <v>196</v>
      </c>
      <c r="P21" s="435" t="s">
        <v>186</v>
      </c>
      <c r="T21" s="513">
        <v>12</v>
      </c>
      <c r="U21" s="513"/>
      <c r="V21" s="513"/>
      <c r="AA21" s="35" t="s">
        <v>186</v>
      </c>
      <c r="AC21" s="493">
        <v>1.4875520833333334E-2</v>
      </c>
      <c r="AD21" s="493"/>
      <c r="AE21" s="493"/>
      <c r="AG21" s="35" t="s">
        <v>197</v>
      </c>
    </row>
    <row r="22" spans="1:33" x14ac:dyDescent="0.55000000000000004">
      <c r="A22" s="35" t="s">
        <v>198</v>
      </c>
      <c r="D22" s="35" t="s">
        <v>186</v>
      </c>
      <c r="E22" s="490">
        <v>1</v>
      </c>
      <c r="F22" s="490"/>
      <c r="G22" s="490"/>
    </row>
    <row r="23" spans="1:33" x14ac:dyDescent="0.55000000000000004">
      <c r="T23" s="512">
        <f>AC21</f>
        <v>1.4875520833333334E-2</v>
      </c>
      <c r="U23" s="512"/>
      <c r="V23" s="512"/>
      <c r="W23" s="512"/>
    </row>
    <row r="24" spans="1:33" x14ac:dyDescent="0.55000000000000004">
      <c r="N24" s="435" t="s">
        <v>199</v>
      </c>
      <c r="P24" s="435" t="s">
        <v>186</v>
      </c>
      <c r="T24" s="513">
        <f>E20</f>
        <v>0.42250000000000004</v>
      </c>
      <c r="U24" s="513"/>
      <c r="V24" s="513"/>
      <c r="W24" s="513"/>
      <c r="AA24" s="35" t="s">
        <v>186</v>
      </c>
      <c r="AC24" s="493">
        <v>0.18763883748662838</v>
      </c>
      <c r="AD24" s="493"/>
      <c r="AE24" s="493"/>
      <c r="AG24" s="35" t="s">
        <v>194</v>
      </c>
    </row>
    <row r="26" spans="1:33" x14ac:dyDescent="0.55000000000000004">
      <c r="A26" s="37" t="s">
        <v>200</v>
      </c>
      <c r="B26" s="435"/>
    </row>
    <row r="27" spans="1:33" x14ac:dyDescent="0.55000000000000004">
      <c r="B27" s="435"/>
      <c r="E27" s="35" t="s">
        <v>186</v>
      </c>
      <c r="G27" s="490">
        <v>0.6</v>
      </c>
      <c r="H27" s="490"/>
      <c r="I27" s="490"/>
      <c r="K27" s="35" t="s">
        <v>39</v>
      </c>
    </row>
    <row r="28" spans="1:33" x14ac:dyDescent="0.55000000000000004">
      <c r="B28" s="435"/>
      <c r="E28" s="35" t="s">
        <v>186</v>
      </c>
      <c r="G28" s="490">
        <v>1.3</v>
      </c>
      <c r="H28" s="490"/>
      <c r="I28" s="490"/>
      <c r="K28" s="35" t="s">
        <v>39</v>
      </c>
    </row>
    <row r="29" spans="1:33" x14ac:dyDescent="0.55000000000000004">
      <c r="B29" s="435"/>
      <c r="G29" s="435"/>
      <c r="H29" s="435"/>
      <c r="I29" s="435"/>
    </row>
    <row r="30" spans="1:33" x14ac:dyDescent="0.55000000000000004">
      <c r="A30" s="35" t="s">
        <v>201</v>
      </c>
      <c r="B30" s="435"/>
      <c r="E30" s="35" t="s">
        <v>186</v>
      </c>
      <c r="G30" s="489">
        <v>11600000</v>
      </c>
      <c r="H30" s="489"/>
      <c r="I30" s="489"/>
      <c r="J30" s="489"/>
      <c r="K30" s="40"/>
      <c r="L30" s="35" t="s">
        <v>202</v>
      </c>
    </row>
    <row r="31" spans="1:33" x14ac:dyDescent="0.55000000000000004">
      <c r="A31" s="35" t="s">
        <v>201</v>
      </c>
      <c r="B31" s="435"/>
      <c r="E31" s="35" t="s">
        <v>186</v>
      </c>
      <c r="G31" s="489">
        <v>9400000</v>
      </c>
      <c r="H31" s="489"/>
      <c r="I31" s="489"/>
      <c r="J31" s="489"/>
      <c r="K31" s="40"/>
      <c r="L31" s="35" t="s">
        <v>202</v>
      </c>
    </row>
    <row r="32" spans="1:33" x14ac:dyDescent="0.55000000000000004">
      <c r="F32" s="435"/>
      <c r="G32" s="436"/>
    </row>
    <row r="33" spans="1:37" x14ac:dyDescent="0.55000000000000004">
      <c r="B33" s="435"/>
      <c r="E33" s="35" t="s">
        <v>186</v>
      </c>
      <c r="G33" s="488">
        <v>24000</v>
      </c>
      <c r="H33" s="488"/>
      <c r="I33" s="488"/>
      <c r="L33" s="35" t="s">
        <v>202</v>
      </c>
      <c r="U33" s="35" t="s">
        <v>186</v>
      </c>
      <c r="W33" s="488">
        <v>11076.923076923076</v>
      </c>
      <c r="X33" s="488"/>
      <c r="Y33" s="488"/>
      <c r="AA33" s="35" t="s">
        <v>202</v>
      </c>
    </row>
    <row r="34" spans="1:37" x14ac:dyDescent="0.55000000000000004">
      <c r="E34" s="35" t="s">
        <v>186</v>
      </c>
      <c r="G34" s="488">
        <v>24000</v>
      </c>
      <c r="H34" s="488"/>
      <c r="I34" s="488"/>
      <c r="L34" s="35" t="s">
        <v>202</v>
      </c>
      <c r="U34" s="35" t="s">
        <v>186</v>
      </c>
      <c r="W34" s="488">
        <v>11076.923076923076</v>
      </c>
      <c r="X34" s="488"/>
      <c r="Y34" s="488"/>
      <c r="AA34" s="35" t="s">
        <v>202</v>
      </c>
    </row>
    <row r="35" spans="1:37" x14ac:dyDescent="0.55000000000000004">
      <c r="B35" s="435"/>
    </row>
    <row r="36" spans="1:37" x14ac:dyDescent="0.55000000000000004">
      <c r="A36" s="37" t="s">
        <v>203</v>
      </c>
      <c r="F36" s="435"/>
      <c r="G36" s="436"/>
    </row>
    <row r="37" spans="1:37" x14ac:dyDescent="0.55000000000000004">
      <c r="B37" s="435"/>
    </row>
    <row r="38" spans="1:37" x14ac:dyDescent="0.55000000000000004">
      <c r="E38" s="35" t="s">
        <v>186</v>
      </c>
      <c r="F38" s="435"/>
      <c r="G38" s="436"/>
      <c r="P38" s="35" t="s">
        <v>186</v>
      </c>
      <c r="R38" s="493">
        <v>19.185793560762949</v>
      </c>
      <c r="S38" s="493"/>
      <c r="T38" s="493"/>
      <c r="U38" s="493"/>
      <c r="V38" s="493"/>
    </row>
    <row r="39" spans="1:37" x14ac:dyDescent="0.55000000000000004">
      <c r="B39" s="435"/>
      <c r="R39" s="41"/>
      <c r="S39" s="41"/>
      <c r="T39" s="41"/>
      <c r="U39" s="41"/>
      <c r="V39" s="41"/>
    </row>
    <row r="40" spans="1:37" x14ac:dyDescent="0.55000000000000004">
      <c r="F40" s="435"/>
      <c r="G40" s="436"/>
      <c r="R40" s="41"/>
      <c r="S40" s="41"/>
      <c r="T40" s="41"/>
      <c r="U40" s="41"/>
      <c r="V40" s="41"/>
    </row>
    <row r="41" spans="1:37" x14ac:dyDescent="0.55000000000000004">
      <c r="B41" s="435"/>
      <c r="E41" s="35" t="s">
        <v>186</v>
      </c>
      <c r="P41" s="35" t="s">
        <v>186</v>
      </c>
      <c r="R41" s="493">
        <v>0.30858270984151365</v>
      </c>
      <c r="S41" s="493"/>
      <c r="T41" s="493"/>
      <c r="U41" s="493"/>
      <c r="V41" s="493"/>
      <c r="Y41" s="35" t="str">
        <f>IF(R41&lt;0.3,"&lt;","&gt;")</f>
        <v>&gt;</v>
      </c>
      <c r="AA41" s="490">
        <v>0.3</v>
      </c>
      <c r="AB41" s="490"/>
      <c r="AC41" s="490"/>
      <c r="AE41" s="490" t="s">
        <v>204</v>
      </c>
      <c r="AF41" s="490"/>
      <c r="AH41" s="492" t="str">
        <f>IF(Y41="&lt;","Gl. (6.19)","Gl. (6.23)")</f>
        <v>Gl. (6.23)</v>
      </c>
      <c r="AI41" s="492"/>
      <c r="AJ41" s="492"/>
      <c r="AK41" s="492"/>
    </row>
    <row r="42" spans="1:37" x14ac:dyDescent="0.55000000000000004">
      <c r="B42" s="435"/>
      <c r="R42" s="436"/>
      <c r="S42" s="436"/>
      <c r="T42" s="436"/>
      <c r="U42" s="436"/>
      <c r="V42" s="436"/>
      <c r="AA42" s="435"/>
      <c r="AB42" s="435"/>
      <c r="AC42" s="435"/>
      <c r="AE42" s="435"/>
      <c r="AF42" s="435"/>
      <c r="AH42" s="438"/>
      <c r="AI42" s="438"/>
      <c r="AJ42" s="438"/>
      <c r="AK42" s="438"/>
    </row>
    <row r="43" spans="1:37" x14ac:dyDescent="0.55000000000000004">
      <c r="F43" s="435"/>
      <c r="G43" s="436"/>
      <c r="R43" s="41"/>
      <c r="S43" s="41"/>
      <c r="T43" s="41"/>
      <c r="U43" s="41"/>
      <c r="V43" s="41"/>
    </row>
    <row r="44" spans="1:37" x14ac:dyDescent="0.55000000000000004">
      <c r="A44" s="490" t="s">
        <v>205</v>
      </c>
      <c r="B44" s="490"/>
      <c r="C44" s="490"/>
      <c r="F44" s="435"/>
      <c r="G44" s="436"/>
      <c r="P44" s="35" t="s">
        <v>186</v>
      </c>
      <c r="R44" s="493">
        <v>0.54804077989864153</v>
      </c>
      <c r="S44" s="493"/>
      <c r="T44" s="493"/>
      <c r="U44" s="493"/>
      <c r="V44" s="493"/>
      <c r="Y44" s="35" t="s">
        <v>206</v>
      </c>
      <c r="AC44" s="35" t="s">
        <v>198</v>
      </c>
      <c r="AD44" s="435"/>
      <c r="AE44" s="436"/>
      <c r="AF44" s="35" t="s">
        <v>186</v>
      </c>
      <c r="AH44" s="490">
        <v>0.2</v>
      </c>
      <c r="AI44" s="490"/>
      <c r="AJ44" s="490"/>
    </row>
    <row r="46" spans="1:37" x14ac:dyDescent="0.55000000000000004">
      <c r="A46" s="490" t="s">
        <v>207</v>
      </c>
      <c r="B46" s="490"/>
      <c r="C46" s="490"/>
      <c r="P46" s="35" t="s">
        <v>186</v>
      </c>
      <c r="R46" s="493">
        <v>0.9990523936303829</v>
      </c>
      <c r="S46" s="493"/>
      <c r="T46" s="493"/>
      <c r="U46" s="493"/>
      <c r="V46" s="493"/>
    </row>
    <row r="49" spans="1:27" x14ac:dyDescent="0.55000000000000004">
      <c r="A49" s="37" t="s">
        <v>208</v>
      </c>
    </row>
    <row r="50" spans="1:27" x14ac:dyDescent="0.55000000000000004">
      <c r="A50" s="42"/>
    </row>
    <row r="51" spans="1:27" x14ac:dyDescent="0.55000000000000004">
      <c r="A51" s="490" t="s">
        <v>209</v>
      </c>
      <c r="B51" s="490"/>
      <c r="C51" s="490"/>
      <c r="E51" s="35" t="s">
        <v>186</v>
      </c>
      <c r="G51" s="490">
        <v>2E-3</v>
      </c>
      <c r="H51" s="490"/>
      <c r="I51" s="490"/>
    </row>
    <row r="52" spans="1:27" x14ac:dyDescent="0.55000000000000004">
      <c r="A52" s="490" t="s">
        <v>210</v>
      </c>
      <c r="B52" s="490"/>
      <c r="C52" s="490"/>
      <c r="E52" s="35" t="s">
        <v>186</v>
      </c>
      <c r="G52" s="490" t="s">
        <v>209</v>
      </c>
      <c r="H52" s="490"/>
      <c r="I52" s="490"/>
      <c r="J52" s="35" t="s">
        <v>211</v>
      </c>
      <c r="K52" s="490" t="s">
        <v>29</v>
      </c>
      <c r="L52" s="490"/>
      <c r="M52" s="490"/>
      <c r="O52" s="35" t="s">
        <v>186</v>
      </c>
      <c r="Q52" s="490">
        <v>7.2000000000000007E-3</v>
      </c>
      <c r="R52" s="490"/>
      <c r="S52" s="490"/>
      <c r="U52" s="35" t="s">
        <v>189</v>
      </c>
    </row>
    <row r="53" spans="1:27" x14ac:dyDescent="0.55000000000000004">
      <c r="A53" s="490" t="s">
        <v>212</v>
      </c>
      <c r="B53" s="490"/>
      <c r="C53" s="490"/>
      <c r="E53" s="35" t="s">
        <v>186</v>
      </c>
      <c r="G53" s="490" t="s">
        <v>210</v>
      </c>
      <c r="H53" s="490"/>
      <c r="I53" s="490"/>
      <c r="J53" s="35" t="s">
        <v>211</v>
      </c>
      <c r="K53" s="490" t="s">
        <v>32</v>
      </c>
      <c r="L53" s="490"/>
      <c r="M53" s="490"/>
      <c r="O53" s="35" t="s">
        <v>186</v>
      </c>
      <c r="Q53" s="490">
        <v>21.6</v>
      </c>
      <c r="R53" s="490"/>
      <c r="S53" s="490"/>
      <c r="U53" s="35" t="s">
        <v>188</v>
      </c>
    </row>
    <row r="54" spans="1:27" x14ac:dyDescent="0.55000000000000004">
      <c r="A54" s="435"/>
      <c r="B54" s="435"/>
      <c r="C54" s="435"/>
      <c r="G54" s="435"/>
      <c r="H54" s="435"/>
      <c r="I54" s="435"/>
      <c r="K54" s="435"/>
      <c r="L54" s="435"/>
      <c r="M54" s="435"/>
      <c r="Q54" s="435"/>
      <c r="R54" s="435"/>
      <c r="S54" s="435"/>
    </row>
    <row r="55" spans="1:27" x14ac:dyDescent="0.55000000000000004">
      <c r="A55" s="37" t="s">
        <v>213</v>
      </c>
    </row>
    <row r="56" spans="1:27" x14ac:dyDescent="0.55000000000000004">
      <c r="A56" s="43" t="s">
        <v>214</v>
      </c>
    </row>
    <row r="58" spans="1:27" x14ac:dyDescent="0.55000000000000004">
      <c r="A58" s="35" t="s">
        <v>206</v>
      </c>
      <c r="P58" s="35" t="s">
        <v>215</v>
      </c>
    </row>
    <row r="61" spans="1:27" ht="16.8" x14ac:dyDescent="0.75">
      <c r="A61" s="501" t="s">
        <v>199</v>
      </c>
      <c r="B61" s="494"/>
      <c r="C61" s="494"/>
      <c r="D61" s="44"/>
      <c r="E61" s="494" t="s">
        <v>216</v>
      </c>
      <c r="F61" s="494"/>
      <c r="G61" s="494"/>
      <c r="H61" s="494"/>
      <c r="I61" s="494"/>
      <c r="J61" s="44"/>
      <c r="K61" s="494" t="s">
        <v>217</v>
      </c>
      <c r="L61" s="494"/>
      <c r="M61" s="494"/>
      <c r="N61" s="494"/>
      <c r="O61" s="494"/>
      <c r="P61" s="44"/>
      <c r="Q61" s="494" t="s">
        <v>218</v>
      </c>
      <c r="R61" s="494"/>
      <c r="S61" s="494"/>
      <c r="T61" s="494"/>
      <c r="U61" s="494"/>
      <c r="V61" s="44"/>
      <c r="W61" s="494" t="s">
        <v>128</v>
      </c>
      <c r="X61" s="494"/>
      <c r="Y61" s="494"/>
      <c r="Z61" s="494"/>
      <c r="AA61" s="495"/>
    </row>
    <row r="62" spans="1:27" x14ac:dyDescent="0.55000000000000004">
      <c r="A62" s="496" t="s">
        <v>39</v>
      </c>
      <c r="B62" s="497"/>
      <c r="C62" s="497"/>
      <c r="D62" s="45"/>
      <c r="E62" s="498" t="s">
        <v>219</v>
      </c>
      <c r="F62" s="498"/>
      <c r="G62" s="498"/>
      <c r="H62" s="498"/>
      <c r="I62" s="498"/>
      <c r="J62" s="45"/>
      <c r="K62" s="499" t="s">
        <v>188</v>
      </c>
      <c r="L62" s="499"/>
      <c r="M62" s="499"/>
      <c r="N62" s="499"/>
      <c r="O62" s="499"/>
      <c r="P62" s="45"/>
      <c r="Q62" s="498" t="s">
        <v>219</v>
      </c>
      <c r="R62" s="498"/>
      <c r="S62" s="498"/>
      <c r="T62" s="498"/>
      <c r="U62" s="498"/>
      <c r="V62" s="45"/>
      <c r="W62" s="499" t="s">
        <v>188</v>
      </c>
      <c r="X62" s="499"/>
      <c r="Y62" s="499"/>
      <c r="Z62" s="499"/>
      <c r="AA62" s="500"/>
    </row>
    <row r="63" spans="1:27" x14ac:dyDescent="0.55000000000000004">
      <c r="A63" s="490">
        <v>0</v>
      </c>
      <c r="B63" s="490"/>
      <c r="C63" s="490"/>
      <c r="E63" s="502">
        <v>7.2000000000000011</v>
      </c>
      <c r="F63" s="502"/>
      <c r="G63" s="502"/>
      <c r="H63" s="502"/>
      <c r="I63" s="502"/>
      <c r="K63" s="503">
        <v>121.6</v>
      </c>
      <c r="L63" s="503"/>
      <c r="M63" s="503"/>
      <c r="N63" s="503"/>
      <c r="O63" s="503"/>
      <c r="Q63" s="502">
        <v>7.2000000000000011</v>
      </c>
      <c r="R63" s="502"/>
      <c r="S63" s="502"/>
      <c r="T63" s="502"/>
      <c r="U63" s="502"/>
      <c r="W63" s="503">
        <v>121.6</v>
      </c>
      <c r="X63" s="503"/>
      <c r="Y63" s="503"/>
      <c r="Z63" s="503"/>
      <c r="AA63" s="503"/>
    </row>
    <row r="64" spans="1:27" x14ac:dyDescent="0.55000000000000004">
      <c r="A64" s="490">
        <v>1</v>
      </c>
      <c r="B64" s="490"/>
      <c r="C64" s="490"/>
      <c r="E64" s="502">
        <v>1.1419281972067876</v>
      </c>
      <c r="F64" s="502"/>
      <c r="G64" s="502"/>
      <c r="H64" s="502"/>
      <c r="I64" s="502"/>
      <c r="K64" s="503">
        <v>3.4257845916203626</v>
      </c>
      <c r="L64" s="503"/>
      <c r="M64" s="503"/>
      <c r="N64" s="503"/>
      <c r="O64" s="503"/>
      <c r="Q64" s="502">
        <v>8.3419281972067871</v>
      </c>
      <c r="R64" s="502"/>
      <c r="S64" s="502"/>
      <c r="T64" s="502"/>
      <c r="U64" s="502"/>
      <c r="W64" s="503">
        <v>125.02578459162035</v>
      </c>
      <c r="X64" s="503"/>
      <c r="Y64" s="503"/>
      <c r="Z64" s="503"/>
      <c r="AA64" s="503"/>
    </row>
    <row r="65" spans="1:42" x14ac:dyDescent="0.55000000000000004">
      <c r="A65" s="490">
        <v>2</v>
      </c>
      <c r="B65" s="490"/>
      <c r="C65" s="490"/>
      <c r="E65" s="502">
        <v>3.2171052818485459E-2</v>
      </c>
      <c r="F65" s="502"/>
      <c r="G65" s="502"/>
      <c r="H65" s="502"/>
      <c r="I65" s="502"/>
      <c r="K65" s="503">
        <v>9.6513158455456383E-2</v>
      </c>
      <c r="L65" s="503"/>
      <c r="M65" s="503"/>
      <c r="N65" s="503"/>
      <c r="O65" s="503"/>
      <c r="Q65" s="502">
        <v>8.3740992500252727</v>
      </c>
      <c r="R65" s="502"/>
      <c r="S65" s="502"/>
      <c r="T65" s="502"/>
      <c r="U65" s="502"/>
      <c r="W65" s="503">
        <v>125.1222977500758</v>
      </c>
      <c r="X65" s="503"/>
      <c r="Y65" s="503"/>
      <c r="Z65" s="503"/>
      <c r="AA65" s="503"/>
    </row>
    <row r="66" spans="1:42" x14ac:dyDescent="0.55000000000000004">
      <c r="A66" s="490">
        <v>3</v>
      </c>
      <c r="B66" s="490"/>
      <c r="C66" s="490"/>
      <c r="E66" s="502">
        <v>9.0634125856720678E-4</v>
      </c>
      <c r="F66" s="502"/>
      <c r="G66" s="502"/>
      <c r="H66" s="502"/>
      <c r="I66" s="502"/>
      <c r="K66" s="503">
        <v>2.7190237757016202E-3</v>
      </c>
      <c r="L66" s="503"/>
      <c r="M66" s="503"/>
      <c r="N66" s="503"/>
      <c r="O66" s="503"/>
      <c r="Q66" s="502">
        <v>8.3750055912838395</v>
      </c>
      <c r="R66" s="502"/>
      <c r="S66" s="502"/>
      <c r="T66" s="502"/>
      <c r="U66" s="502"/>
      <c r="W66" s="503">
        <v>125.1250167738515</v>
      </c>
      <c r="X66" s="503"/>
      <c r="Y66" s="503"/>
      <c r="Z66" s="503"/>
      <c r="AA66" s="503"/>
      <c r="AP66" s="42"/>
    </row>
    <row r="67" spans="1:42" x14ac:dyDescent="0.55000000000000004">
      <c r="A67" s="490">
        <v>4</v>
      </c>
      <c r="B67" s="490"/>
      <c r="C67" s="490"/>
      <c r="E67" s="502">
        <v>2.5533963144320267E-5</v>
      </c>
      <c r="F67" s="502"/>
      <c r="G67" s="502"/>
      <c r="H67" s="502"/>
      <c r="I67" s="502"/>
      <c r="K67" s="503">
        <v>7.6601889432960802E-5</v>
      </c>
      <c r="L67" s="503"/>
      <c r="M67" s="503"/>
      <c r="N67" s="503"/>
      <c r="O67" s="503"/>
      <c r="Q67" s="502">
        <v>8.3750311252469825</v>
      </c>
      <c r="R67" s="502"/>
      <c r="S67" s="502"/>
      <c r="T67" s="502"/>
      <c r="U67" s="502"/>
      <c r="W67" s="503">
        <v>125.12509337574093</v>
      </c>
      <c r="X67" s="503"/>
      <c r="Y67" s="503"/>
      <c r="Z67" s="503"/>
      <c r="AA67" s="503"/>
    </row>
    <row r="68" spans="1:42" x14ac:dyDescent="0.55000000000000004">
      <c r="A68" s="490">
        <v>5</v>
      </c>
      <c r="B68" s="490"/>
      <c r="C68" s="490"/>
      <c r="E68" s="502">
        <v>7.1935738077972541E-7</v>
      </c>
      <c r="F68" s="502"/>
      <c r="G68" s="502"/>
      <c r="H68" s="502"/>
      <c r="I68" s="502"/>
      <c r="K68" s="503">
        <v>2.1580721423391762E-6</v>
      </c>
      <c r="L68" s="503"/>
      <c r="M68" s="503"/>
      <c r="N68" s="503"/>
      <c r="O68" s="503"/>
      <c r="Q68" s="502">
        <v>8.3750318446043632</v>
      </c>
      <c r="R68" s="502"/>
      <c r="S68" s="502"/>
      <c r="T68" s="502"/>
      <c r="U68" s="502"/>
      <c r="W68" s="503">
        <v>125.12509553381308</v>
      </c>
      <c r="X68" s="503"/>
      <c r="Y68" s="503"/>
      <c r="Z68" s="503"/>
      <c r="AA68" s="503"/>
    </row>
    <row r="69" spans="1:42" x14ac:dyDescent="0.55000000000000004">
      <c r="A69" s="490">
        <v>6</v>
      </c>
      <c r="B69" s="490"/>
      <c r="C69" s="490"/>
      <c r="E69" s="502">
        <v>2.0266146636049059E-8</v>
      </c>
      <c r="F69" s="502"/>
      <c r="G69" s="502"/>
      <c r="H69" s="502"/>
      <c r="I69" s="502"/>
      <c r="K69" s="503">
        <v>6.0798439908147172E-8</v>
      </c>
      <c r="L69" s="503"/>
      <c r="M69" s="503"/>
      <c r="N69" s="503"/>
      <c r="O69" s="503"/>
      <c r="Q69" s="502">
        <v>8.3750318648705093</v>
      </c>
      <c r="R69" s="502"/>
      <c r="S69" s="502"/>
      <c r="T69" s="502"/>
      <c r="U69" s="502"/>
      <c r="W69" s="503">
        <v>125.12509559461152</v>
      </c>
      <c r="X69" s="503"/>
      <c r="Y69" s="503"/>
      <c r="Z69" s="503"/>
      <c r="AA69" s="503"/>
    </row>
    <row r="70" spans="1:42" x14ac:dyDescent="0.55000000000000004">
      <c r="A70" s="490">
        <v>7</v>
      </c>
      <c r="B70" s="490"/>
      <c r="C70" s="490"/>
      <c r="E70" s="502">
        <v>5.7094944800407657E-10</v>
      </c>
      <c r="F70" s="502"/>
      <c r="G70" s="502"/>
      <c r="H70" s="502"/>
      <c r="I70" s="502"/>
      <c r="K70" s="503">
        <v>1.7128483440122298E-9</v>
      </c>
      <c r="L70" s="503"/>
      <c r="M70" s="503"/>
      <c r="N70" s="503"/>
      <c r="O70" s="503"/>
      <c r="Q70" s="502">
        <v>8.3750318654414588</v>
      </c>
      <c r="R70" s="502"/>
      <c r="S70" s="502"/>
      <c r="T70" s="502"/>
      <c r="U70" s="502"/>
      <c r="W70" s="503">
        <v>125.12509559632437</v>
      </c>
      <c r="X70" s="503"/>
      <c r="Y70" s="503"/>
      <c r="Z70" s="503"/>
      <c r="AA70" s="503"/>
    </row>
    <row r="71" spans="1:42" x14ac:dyDescent="0.55000000000000004">
      <c r="A71" s="490">
        <v>8</v>
      </c>
      <c r="B71" s="490"/>
      <c r="C71" s="490"/>
      <c r="E71" s="502">
        <v>1.608511366419833E-11</v>
      </c>
      <c r="F71" s="502"/>
      <c r="G71" s="502"/>
      <c r="H71" s="502"/>
      <c r="I71" s="502"/>
      <c r="K71" s="503">
        <v>4.8255340992594991E-11</v>
      </c>
      <c r="L71" s="503"/>
      <c r="M71" s="503"/>
      <c r="N71" s="503"/>
      <c r="O71" s="503"/>
      <c r="Q71" s="502">
        <v>8.3750318654575437</v>
      </c>
      <c r="R71" s="502"/>
      <c r="S71" s="502"/>
      <c r="T71" s="502"/>
      <c r="U71" s="502"/>
      <c r="W71" s="503">
        <v>125.12509559637263</v>
      </c>
      <c r="X71" s="503"/>
      <c r="Y71" s="503"/>
      <c r="Z71" s="503"/>
      <c r="AA71" s="503"/>
    </row>
    <row r="72" spans="1:42" x14ac:dyDescent="0.55000000000000004">
      <c r="A72" s="490">
        <v>9</v>
      </c>
      <c r="B72" s="490"/>
      <c r="C72" s="490"/>
      <c r="E72" s="502">
        <v>2.8255664041452705E-15</v>
      </c>
      <c r="F72" s="502"/>
      <c r="G72" s="502"/>
      <c r="H72" s="502"/>
      <c r="I72" s="502"/>
      <c r="K72" s="503">
        <v>8.4766992124358118E-16</v>
      </c>
      <c r="L72" s="503"/>
      <c r="M72" s="503"/>
      <c r="N72" s="503"/>
      <c r="O72" s="503"/>
      <c r="Q72" s="502">
        <v>8.3880937461897833</v>
      </c>
      <c r="R72" s="502"/>
      <c r="S72" s="502"/>
      <c r="T72" s="502"/>
      <c r="U72" s="502"/>
      <c r="W72" s="503">
        <v>52.516428123856933</v>
      </c>
      <c r="X72" s="503"/>
      <c r="Y72" s="503"/>
      <c r="Z72" s="503"/>
      <c r="AA72" s="503"/>
    </row>
    <row r="73" spans="1:42" x14ac:dyDescent="0.55000000000000004">
      <c r="A73" s="39"/>
      <c r="B73" s="39"/>
      <c r="C73" s="39"/>
      <c r="D73" s="39"/>
      <c r="E73" s="39"/>
      <c r="F73" s="39"/>
      <c r="G73" s="39"/>
      <c r="H73" s="39"/>
      <c r="I73" s="39"/>
      <c r="J73" s="39"/>
      <c r="K73" s="39"/>
      <c r="L73" s="39"/>
      <c r="M73" s="39"/>
      <c r="N73" s="39"/>
      <c r="O73" s="39"/>
      <c r="P73" s="39"/>
      <c r="Q73" s="39"/>
      <c r="R73" s="39"/>
      <c r="S73" s="39"/>
      <c r="T73" s="39"/>
      <c r="U73" s="39"/>
      <c r="V73" s="39"/>
      <c r="W73" s="39"/>
      <c r="X73" s="39"/>
      <c r="Y73" s="39"/>
      <c r="Z73" s="39"/>
      <c r="AA73" s="39"/>
    </row>
    <row r="74" spans="1:42" x14ac:dyDescent="0.55000000000000004">
      <c r="A74" s="492" t="s">
        <v>220</v>
      </c>
      <c r="B74" s="492"/>
      <c r="C74" s="492"/>
      <c r="D74" s="37"/>
      <c r="E74" s="504">
        <f>SUM(E63:I72)</f>
        <v>8.3750318654575509</v>
      </c>
      <c r="F74" s="504"/>
      <c r="G74" s="504"/>
      <c r="H74" s="504"/>
      <c r="I74" s="504"/>
      <c r="J74" s="46"/>
      <c r="K74" s="505">
        <f>SUM(K63:O72)</f>
        <v>125.12509559637263</v>
      </c>
      <c r="L74" s="505"/>
      <c r="M74" s="505"/>
      <c r="N74" s="505"/>
      <c r="O74" s="505"/>
      <c r="P74" s="46"/>
      <c r="Q74" s="504">
        <f>Q72</f>
        <v>8.3880937461897833</v>
      </c>
      <c r="R74" s="504"/>
      <c r="S74" s="504"/>
      <c r="T74" s="504"/>
      <c r="U74" s="504"/>
      <c r="V74" s="46"/>
      <c r="W74" s="505">
        <f>W72</f>
        <v>52.516428123856933</v>
      </c>
      <c r="X74" s="505"/>
      <c r="Y74" s="505"/>
      <c r="Z74" s="505"/>
      <c r="AA74" s="505"/>
      <c r="AB74" s="47"/>
    </row>
    <row r="76" spans="1:42" ht="16.8" x14ac:dyDescent="0.75">
      <c r="A76" s="490" t="s">
        <v>131</v>
      </c>
      <c r="B76" s="490"/>
      <c r="C76" s="490"/>
      <c r="E76" s="35" t="s">
        <v>186</v>
      </c>
      <c r="G76" s="506">
        <v>4760.8510065605242</v>
      </c>
      <c r="H76" s="506"/>
      <c r="I76" s="506"/>
      <c r="J76" s="506"/>
      <c r="K76" s="35" t="s">
        <v>202</v>
      </c>
    </row>
    <row r="78" spans="1:42" x14ac:dyDescent="0.55000000000000004">
      <c r="A78" s="43" t="s">
        <v>221</v>
      </c>
    </row>
    <row r="80" spans="1:42" ht="16.8" x14ac:dyDescent="0.75">
      <c r="A80" s="501" t="s">
        <v>199</v>
      </c>
      <c r="B80" s="494"/>
      <c r="C80" s="494"/>
      <c r="D80" s="44"/>
      <c r="E80" s="494" t="s">
        <v>216</v>
      </c>
      <c r="F80" s="494"/>
      <c r="G80" s="494"/>
      <c r="H80" s="494"/>
      <c r="I80" s="494"/>
      <c r="J80" s="44"/>
      <c r="K80" s="494" t="s">
        <v>217</v>
      </c>
      <c r="L80" s="494"/>
      <c r="M80" s="494"/>
      <c r="N80" s="494"/>
      <c r="O80" s="494"/>
      <c r="P80" s="44"/>
      <c r="Q80" s="494" t="s">
        <v>218</v>
      </c>
      <c r="R80" s="494"/>
      <c r="S80" s="494"/>
      <c r="T80" s="494"/>
      <c r="U80" s="494"/>
      <c r="V80" s="44"/>
      <c r="W80" s="494" t="s">
        <v>129</v>
      </c>
      <c r="X80" s="494"/>
      <c r="Y80" s="494"/>
      <c r="Z80" s="494"/>
      <c r="AA80" s="495"/>
    </row>
    <row r="81" spans="1:28" x14ac:dyDescent="0.55000000000000004">
      <c r="A81" s="496" t="s">
        <v>39</v>
      </c>
      <c r="B81" s="497"/>
      <c r="C81" s="497"/>
      <c r="D81" s="45"/>
      <c r="E81" s="498" t="s">
        <v>219</v>
      </c>
      <c r="F81" s="498"/>
      <c r="G81" s="498"/>
      <c r="H81" s="498"/>
      <c r="I81" s="498"/>
      <c r="J81" s="45"/>
      <c r="K81" s="499" t="s">
        <v>188</v>
      </c>
      <c r="L81" s="499"/>
      <c r="M81" s="499"/>
      <c r="N81" s="499"/>
      <c r="O81" s="499"/>
      <c r="P81" s="45"/>
      <c r="Q81" s="498" t="s">
        <v>219</v>
      </c>
      <c r="R81" s="498"/>
      <c r="S81" s="498"/>
      <c r="T81" s="498"/>
      <c r="U81" s="498"/>
      <c r="V81" s="45"/>
      <c r="W81" s="499" t="s">
        <v>188</v>
      </c>
      <c r="X81" s="499"/>
      <c r="Y81" s="499"/>
      <c r="Z81" s="499"/>
      <c r="AA81" s="500"/>
    </row>
    <row r="82" spans="1:28" x14ac:dyDescent="0.55000000000000004">
      <c r="A82" s="490">
        <v>0</v>
      </c>
      <c r="B82" s="490"/>
      <c r="C82" s="490"/>
      <c r="E82" s="502">
        <v>7.2000000000000011</v>
      </c>
      <c r="F82" s="502"/>
      <c r="G82" s="502"/>
      <c r="H82" s="502"/>
      <c r="I82" s="502"/>
      <c r="K82" s="503">
        <v>21.6</v>
      </c>
      <c r="L82" s="503"/>
      <c r="M82" s="503"/>
      <c r="N82" s="503"/>
      <c r="O82" s="503"/>
      <c r="Q82" s="502">
        <v>7.2000000000000011</v>
      </c>
      <c r="R82" s="502"/>
      <c r="S82" s="502"/>
      <c r="T82" s="502"/>
      <c r="U82" s="502"/>
      <c r="W82" s="503">
        <v>21.6</v>
      </c>
      <c r="X82" s="503"/>
      <c r="Y82" s="503"/>
      <c r="Z82" s="503"/>
      <c r="AA82" s="503"/>
    </row>
    <row r="83" spans="1:28" x14ac:dyDescent="0.55000000000000004">
      <c r="A83" s="490">
        <v>1</v>
      </c>
      <c r="B83" s="490"/>
      <c r="C83" s="490"/>
      <c r="E83" s="502">
        <v>1.1419281972067876</v>
      </c>
      <c r="F83" s="502"/>
      <c r="G83" s="502"/>
      <c r="H83" s="502"/>
      <c r="I83" s="502"/>
      <c r="K83" s="503">
        <v>3.4257845916203626</v>
      </c>
      <c r="L83" s="503"/>
      <c r="M83" s="503"/>
      <c r="N83" s="503"/>
      <c r="O83" s="503"/>
      <c r="Q83" s="502">
        <v>8.3419281972067871</v>
      </c>
      <c r="R83" s="502"/>
      <c r="S83" s="502"/>
      <c r="T83" s="502"/>
      <c r="U83" s="502"/>
      <c r="W83" s="503">
        <v>25.025784591620365</v>
      </c>
      <c r="X83" s="503"/>
      <c r="Y83" s="503"/>
      <c r="Z83" s="503"/>
      <c r="AA83" s="503"/>
    </row>
    <row r="84" spans="1:28" x14ac:dyDescent="0.55000000000000004">
      <c r="A84" s="490">
        <v>2</v>
      </c>
      <c r="B84" s="490"/>
      <c r="C84" s="490"/>
      <c r="E84" s="502">
        <v>3.2171052818485459E-2</v>
      </c>
      <c r="F84" s="502"/>
      <c r="G84" s="502"/>
      <c r="H84" s="502"/>
      <c r="I84" s="502"/>
      <c r="K84" s="503">
        <v>9.6513158455456383E-2</v>
      </c>
      <c r="L84" s="503"/>
      <c r="M84" s="503"/>
      <c r="N84" s="503"/>
      <c r="O84" s="503"/>
      <c r="Q84" s="502">
        <v>8.3740992500252727</v>
      </c>
      <c r="R84" s="502"/>
      <c r="S84" s="502"/>
      <c r="T84" s="502"/>
      <c r="U84" s="502"/>
      <c r="W84" s="503">
        <v>25.12229775007582</v>
      </c>
      <c r="X84" s="503"/>
      <c r="Y84" s="503"/>
      <c r="Z84" s="503"/>
      <c r="AA84" s="503"/>
    </row>
    <row r="85" spans="1:28" x14ac:dyDescent="0.55000000000000004">
      <c r="A85" s="490">
        <v>3</v>
      </c>
      <c r="B85" s="490"/>
      <c r="C85" s="490"/>
      <c r="E85" s="502">
        <v>9.0634125856720678E-4</v>
      </c>
      <c r="F85" s="502"/>
      <c r="G85" s="502"/>
      <c r="H85" s="502"/>
      <c r="I85" s="502"/>
      <c r="K85" s="503">
        <v>2.7190237757016202E-3</v>
      </c>
      <c r="L85" s="503"/>
      <c r="M85" s="503"/>
      <c r="N85" s="503"/>
      <c r="O85" s="503"/>
      <c r="Q85" s="502">
        <v>8.3750055912838395</v>
      </c>
      <c r="R85" s="502"/>
      <c r="S85" s="502"/>
      <c r="T85" s="502"/>
      <c r="U85" s="502"/>
      <c r="W85" s="503">
        <v>25.12501677385152</v>
      </c>
      <c r="X85" s="503"/>
      <c r="Y85" s="503"/>
      <c r="Z85" s="503"/>
      <c r="AA85" s="503"/>
    </row>
    <row r="86" spans="1:28" x14ac:dyDescent="0.55000000000000004">
      <c r="A86" s="490">
        <v>4</v>
      </c>
      <c r="B86" s="490"/>
      <c r="C86" s="490"/>
      <c r="E86" s="502">
        <v>2.5533963144320267E-5</v>
      </c>
      <c r="F86" s="502"/>
      <c r="G86" s="502"/>
      <c r="H86" s="502"/>
      <c r="I86" s="502"/>
      <c r="K86" s="503">
        <v>7.6601889432960802E-5</v>
      </c>
      <c r="L86" s="503"/>
      <c r="M86" s="503"/>
      <c r="N86" s="503"/>
      <c r="O86" s="503"/>
      <c r="Q86" s="502">
        <v>8.3750311252469825</v>
      </c>
      <c r="R86" s="502"/>
      <c r="S86" s="502"/>
      <c r="T86" s="502"/>
      <c r="U86" s="502"/>
      <c r="W86" s="503">
        <v>25.125093375740953</v>
      </c>
      <c r="X86" s="503"/>
      <c r="Y86" s="503"/>
      <c r="Z86" s="503"/>
      <c r="AA86" s="503"/>
    </row>
    <row r="87" spans="1:28" x14ac:dyDescent="0.55000000000000004">
      <c r="A87" s="490">
        <v>5</v>
      </c>
      <c r="B87" s="490"/>
      <c r="C87" s="490"/>
      <c r="E87" s="502">
        <v>7.1935738077972541E-7</v>
      </c>
      <c r="F87" s="502"/>
      <c r="G87" s="502"/>
      <c r="H87" s="502"/>
      <c r="I87" s="502"/>
      <c r="K87" s="503">
        <v>2.1580721423391762E-6</v>
      </c>
      <c r="L87" s="503"/>
      <c r="M87" s="503"/>
      <c r="N87" s="503"/>
      <c r="O87" s="503"/>
      <c r="Q87" s="502">
        <v>8.3750318446043632</v>
      </c>
      <c r="R87" s="502"/>
      <c r="S87" s="502"/>
      <c r="T87" s="502"/>
      <c r="U87" s="502"/>
      <c r="W87" s="503">
        <v>25.125095533813095</v>
      </c>
      <c r="X87" s="503"/>
      <c r="Y87" s="503"/>
      <c r="Z87" s="503"/>
      <c r="AA87" s="503"/>
    </row>
    <row r="88" spans="1:28" x14ac:dyDescent="0.55000000000000004">
      <c r="A88" s="490">
        <v>6</v>
      </c>
      <c r="B88" s="490"/>
      <c r="C88" s="490"/>
      <c r="E88" s="502">
        <v>2.0266146636049059E-8</v>
      </c>
      <c r="F88" s="502"/>
      <c r="G88" s="502"/>
      <c r="H88" s="502"/>
      <c r="I88" s="502"/>
      <c r="K88" s="503">
        <v>6.0798439908147172E-8</v>
      </c>
      <c r="L88" s="503"/>
      <c r="M88" s="503"/>
      <c r="N88" s="503"/>
      <c r="O88" s="503"/>
      <c r="Q88" s="502">
        <v>8.3750318648705093</v>
      </c>
      <c r="R88" s="502"/>
      <c r="S88" s="502"/>
      <c r="T88" s="502"/>
      <c r="U88" s="502"/>
      <c r="W88" s="503">
        <v>25.125095594611533</v>
      </c>
      <c r="X88" s="503"/>
      <c r="Y88" s="503"/>
      <c r="Z88" s="503"/>
      <c r="AA88" s="503"/>
    </row>
    <row r="89" spans="1:28" x14ac:dyDescent="0.55000000000000004">
      <c r="A89" s="490">
        <v>7</v>
      </c>
      <c r="B89" s="490"/>
      <c r="C89" s="490"/>
      <c r="E89" s="502">
        <v>5.7094944800407657E-10</v>
      </c>
      <c r="F89" s="502"/>
      <c r="G89" s="502"/>
      <c r="H89" s="502"/>
      <c r="I89" s="502"/>
      <c r="K89" s="503">
        <v>1.7128483440122298E-9</v>
      </c>
      <c r="L89" s="503"/>
      <c r="M89" s="503"/>
      <c r="N89" s="503"/>
      <c r="O89" s="503"/>
      <c r="Q89" s="502">
        <v>8.3750318654414588</v>
      </c>
      <c r="R89" s="502"/>
      <c r="S89" s="502"/>
      <c r="T89" s="502"/>
      <c r="U89" s="502"/>
      <c r="W89" s="503">
        <v>25.125095596324382</v>
      </c>
      <c r="X89" s="503"/>
      <c r="Y89" s="503"/>
      <c r="Z89" s="503"/>
      <c r="AA89" s="503"/>
    </row>
    <row r="90" spans="1:28" x14ac:dyDescent="0.55000000000000004">
      <c r="A90" s="490">
        <v>8</v>
      </c>
      <c r="B90" s="490"/>
      <c r="C90" s="490"/>
      <c r="E90" s="502">
        <v>1.608511366419833E-11</v>
      </c>
      <c r="F90" s="502"/>
      <c r="G90" s="502"/>
      <c r="H90" s="502"/>
      <c r="I90" s="502"/>
      <c r="K90" s="503">
        <v>4.8255340992594991E-11</v>
      </c>
      <c r="L90" s="503"/>
      <c r="M90" s="503"/>
      <c r="N90" s="503"/>
      <c r="O90" s="503"/>
      <c r="Q90" s="502">
        <v>8.3750318654575437</v>
      </c>
      <c r="R90" s="502"/>
      <c r="S90" s="502"/>
      <c r="T90" s="502"/>
      <c r="U90" s="502"/>
      <c r="W90" s="503">
        <v>25.125095596372638</v>
      </c>
      <c r="X90" s="503"/>
      <c r="Y90" s="503"/>
      <c r="Z90" s="503"/>
      <c r="AA90" s="503"/>
    </row>
    <row r="91" spans="1:28" x14ac:dyDescent="0.55000000000000004">
      <c r="A91" s="490">
        <v>9</v>
      </c>
      <c r="B91" s="490"/>
      <c r="C91" s="490"/>
      <c r="E91" s="502">
        <v>4.531590011946776E-13</v>
      </c>
      <c r="F91" s="502"/>
      <c r="G91" s="502"/>
      <c r="H91" s="502"/>
      <c r="I91" s="502"/>
      <c r="K91" s="503">
        <v>1.3594770035840329E-12</v>
      </c>
      <c r="L91" s="503"/>
      <c r="M91" s="503"/>
      <c r="N91" s="503"/>
      <c r="O91" s="503"/>
      <c r="Q91" s="502">
        <v>8.3750318654579967</v>
      </c>
      <c r="R91" s="502"/>
      <c r="S91" s="502"/>
      <c r="T91" s="502"/>
      <c r="U91" s="502"/>
      <c r="W91" s="503">
        <v>25.125095596373999</v>
      </c>
      <c r="X91" s="503"/>
      <c r="Y91" s="503"/>
      <c r="Z91" s="503"/>
      <c r="AA91" s="503"/>
    </row>
    <row r="92" spans="1:28" x14ac:dyDescent="0.55000000000000004">
      <c r="A92" s="39"/>
      <c r="B92" s="39"/>
      <c r="C92" s="39"/>
      <c r="D92" s="39"/>
      <c r="E92" s="39"/>
      <c r="F92" s="39"/>
      <c r="G92" s="39"/>
      <c r="H92" s="39"/>
      <c r="I92" s="39"/>
      <c r="J92" s="39"/>
      <c r="K92" s="39"/>
      <c r="L92" s="39"/>
      <c r="M92" s="39"/>
      <c r="N92" s="39"/>
      <c r="O92" s="39"/>
      <c r="P92" s="39"/>
      <c r="Q92" s="39"/>
      <c r="R92" s="39"/>
      <c r="S92" s="39"/>
      <c r="T92" s="39"/>
      <c r="U92" s="39"/>
      <c r="V92" s="39"/>
      <c r="W92" s="39"/>
      <c r="X92" s="39"/>
      <c r="Y92" s="39"/>
      <c r="Z92" s="39"/>
      <c r="AA92" s="39"/>
    </row>
    <row r="93" spans="1:28" x14ac:dyDescent="0.55000000000000004">
      <c r="A93" s="492" t="s">
        <v>220</v>
      </c>
      <c r="B93" s="492"/>
      <c r="C93" s="492"/>
      <c r="D93" s="37"/>
      <c r="E93" s="504">
        <f>SUM(E82:I91)</f>
        <v>8.3750318654580003</v>
      </c>
      <c r="F93" s="504"/>
      <c r="G93" s="504"/>
      <c r="H93" s="504"/>
      <c r="I93" s="504"/>
      <c r="J93" s="46"/>
      <c r="K93" s="505">
        <f>SUM(K82:O91)</f>
        <v>25.125095596373999</v>
      </c>
      <c r="L93" s="505"/>
      <c r="M93" s="505"/>
      <c r="N93" s="505"/>
      <c r="O93" s="505"/>
      <c r="P93" s="46"/>
      <c r="Q93" s="504">
        <f>Q91</f>
        <v>8.3750318654579967</v>
      </c>
      <c r="R93" s="504"/>
      <c r="S93" s="504"/>
      <c r="T93" s="504"/>
      <c r="U93" s="504"/>
      <c r="V93" s="46"/>
      <c r="W93" s="505">
        <f>W91</f>
        <v>25.125095596373999</v>
      </c>
      <c r="X93" s="505"/>
      <c r="Y93" s="505"/>
      <c r="Z93" s="505"/>
      <c r="AA93" s="505"/>
      <c r="AB93" s="47"/>
    </row>
    <row r="95" spans="1:28" ht="16.8" x14ac:dyDescent="0.75">
      <c r="A95" s="490" t="s">
        <v>222</v>
      </c>
      <c r="B95" s="490"/>
      <c r="C95" s="490"/>
      <c r="E95" s="35" t="s">
        <v>186</v>
      </c>
      <c r="G95" s="506">
        <v>4760.8510065605242</v>
      </c>
      <c r="H95" s="506"/>
      <c r="I95" s="506"/>
      <c r="J95" s="506"/>
      <c r="K95" s="35" t="s">
        <v>202</v>
      </c>
    </row>
    <row r="98" spans="1:39" x14ac:dyDescent="0.55000000000000004">
      <c r="A98" s="37" t="s">
        <v>223</v>
      </c>
    </row>
    <row r="99" spans="1:39" ht="16.8" x14ac:dyDescent="0.75">
      <c r="A99" s="35" t="s">
        <v>154</v>
      </c>
      <c r="E99" s="35" t="s">
        <v>186</v>
      </c>
      <c r="G99" s="490">
        <v>7100.5917159763303</v>
      </c>
      <c r="H99" s="490"/>
      <c r="I99" s="490"/>
      <c r="K99" s="35" t="s">
        <v>202</v>
      </c>
    </row>
    <row r="101" spans="1:39" ht="16.8" x14ac:dyDescent="0.75">
      <c r="A101" s="35" t="s">
        <v>224</v>
      </c>
      <c r="E101" s="35" t="s">
        <v>186</v>
      </c>
      <c r="G101" s="506">
        <f>MAX(G95,G76)</f>
        <v>4760.8510065605242</v>
      </c>
      <c r="H101" s="506"/>
      <c r="I101" s="506"/>
      <c r="K101" s="35" t="s">
        <v>202</v>
      </c>
    </row>
    <row r="103" spans="1:39" ht="16.8" x14ac:dyDescent="0.75">
      <c r="A103" s="35" t="s">
        <v>225</v>
      </c>
      <c r="E103" s="35" t="s">
        <v>186</v>
      </c>
      <c r="G103" s="506">
        <f>MIN(G95,G76)</f>
        <v>4760.8510065605242</v>
      </c>
      <c r="H103" s="506"/>
      <c r="I103" s="506"/>
      <c r="K103" s="35" t="s">
        <v>202</v>
      </c>
    </row>
    <row r="104" spans="1:39" x14ac:dyDescent="0.55000000000000004">
      <c r="G104" s="439"/>
      <c r="H104" s="439"/>
      <c r="I104" s="439"/>
    </row>
    <row r="105" spans="1:39" x14ac:dyDescent="0.55000000000000004">
      <c r="A105" s="37" t="s">
        <v>226</v>
      </c>
      <c r="G105" s="439"/>
      <c r="H105" s="439"/>
      <c r="I105" s="439"/>
    </row>
    <row r="106" spans="1:39" ht="40.799999999999997" customHeight="1" x14ac:dyDescent="0.55000000000000004">
      <c r="A106" s="491" t="s">
        <v>227</v>
      </c>
      <c r="B106" s="491"/>
      <c r="C106" s="491"/>
      <c r="D106" s="491"/>
      <c r="E106" s="491"/>
      <c r="F106" s="491"/>
      <c r="G106" s="491"/>
      <c r="H106" s="491"/>
      <c r="I106" s="491"/>
      <c r="J106" s="491"/>
      <c r="K106" s="491"/>
      <c r="L106" s="491"/>
      <c r="M106" s="491"/>
      <c r="N106" s="491"/>
      <c r="O106" s="491"/>
      <c r="P106" s="491"/>
      <c r="Q106" s="491"/>
      <c r="R106" s="491"/>
      <c r="S106" s="491"/>
      <c r="T106" s="491"/>
      <c r="U106" s="491"/>
      <c r="V106" s="491"/>
      <c r="W106" s="491"/>
      <c r="X106" s="491"/>
      <c r="Y106" s="491"/>
      <c r="Z106" s="491"/>
      <c r="AA106" s="491"/>
      <c r="AB106" s="491"/>
      <c r="AC106" s="491"/>
      <c r="AD106" s="491"/>
      <c r="AE106" s="491"/>
      <c r="AF106" s="491"/>
      <c r="AG106" s="491"/>
      <c r="AH106" s="491"/>
      <c r="AI106" s="491"/>
      <c r="AJ106" s="491"/>
      <c r="AK106" s="491"/>
      <c r="AL106" s="491"/>
      <c r="AM106" s="491"/>
    </row>
    <row r="107" spans="1:39" x14ac:dyDescent="0.55000000000000004">
      <c r="A107" s="492" t="s">
        <v>228</v>
      </c>
      <c r="B107" s="492"/>
      <c r="C107" s="492"/>
      <c r="D107" s="492"/>
    </row>
    <row r="109" spans="1:39" ht="15.6" customHeight="1" x14ac:dyDescent="0.55000000000000004">
      <c r="A109" s="507" t="s">
        <v>178</v>
      </c>
      <c r="B109" s="507"/>
      <c r="C109" s="507"/>
      <c r="E109" s="507" t="s">
        <v>186</v>
      </c>
      <c r="G109" s="507" t="s">
        <v>229</v>
      </c>
      <c r="H109" s="509">
        <f>G99</f>
        <v>7100.5917159763303</v>
      </c>
      <c r="I109" s="509"/>
      <c r="J109" s="509"/>
      <c r="K109" s="509"/>
      <c r="L109" s="507" t="s">
        <v>230</v>
      </c>
      <c r="M109" s="35">
        <v>2</v>
      </c>
      <c r="O109" s="507" t="s">
        <v>231</v>
      </c>
      <c r="Q109" s="508">
        <f>G76</f>
        <v>4760.8510065605242</v>
      </c>
      <c r="R109" s="509"/>
      <c r="S109" s="509"/>
      <c r="T109" s="509"/>
      <c r="V109" s="507" t="s">
        <v>231</v>
      </c>
      <c r="X109" s="508">
        <f>G103</f>
        <v>4760.8510065605242</v>
      </c>
      <c r="Y109" s="509"/>
      <c r="Z109" s="509"/>
      <c r="AA109" s="509"/>
      <c r="AB109" s="39" t="s">
        <v>211</v>
      </c>
      <c r="AC109" s="509">
        <v>0.7</v>
      </c>
      <c r="AD109" s="509"/>
      <c r="AF109" s="507" t="s">
        <v>186</v>
      </c>
      <c r="AH109" s="510">
        <v>0.48803611862233381</v>
      </c>
      <c r="AI109" s="510"/>
      <c r="AJ109" s="510"/>
      <c r="AK109" s="510"/>
      <c r="AL109" s="510"/>
    </row>
    <row r="110" spans="1:39" x14ac:dyDescent="0.55000000000000004">
      <c r="A110" s="507"/>
      <c r="B110" s="507"/>
      <c r="C110" s="507"/>
      <c r="E110" s="507"/>
      <c r="G110" s="507"/>
      <c r="H110" s="511">
        <f>W33</f>
        <v>11076.923076923076</v>
      </c>
      <c r="I110" s="511"/>
      <c r="J110" s="511"/>
      <c r="K110" s="511"/>
      <c r="L110" s="507"/>
      <c r="O110" s="507"/>
      <c r="Q110" s="511">
        <f>W34</f>
        <v>11076.923076923076</v>
      </c>
      <c r="R110" s="511"/>
      <c r="S110" s="511"/>
      <c r="T110" s="511"/>
      <c r="V110" s="507"/>
      <c r="X110" s="511">
        <f>Q110</f>
        <v>11076.923076923076</v>
      </c>
      <c r="Y110" s="511"/>
      <c r="Z110" s="511"/>
      <c r="AA110" s="511"/>
      <c r="AB110" s="511"/>
      <c r="AC110" s="511"/>
      <c r="AD110" s="511"/>
      <c r="AF110" s="507"/>
      <c r="AH110" s="510"/>
      <c r="AI110" s="510"/>
      <c r="AJ110" s="510"/>
      <c r="AK110" s="510"/>
      <c r="AL110" s="510"/>
    </row>
    <row r="112" spans="1:39" x14ac:dyDescent="0.55000000000000004">
      <c r="A112" s="492" t="s">
        <v>232</v>
      </c>
      <c r="B112" s="492"/>
      <c r="C112" s="492"/>
      <c r="D112" s="492"/>
    </row>
    <row r="114" spans="1:38" x14ac:dyDescent="0.55000000000000004">
      <c r="A114" s="507" t="s">
        <v>178</v>
      </c>
      <c r="B114" s="507"/>
      <c r="C114" s="507"/>
      <c r="E114" s="507" t="s">
        <v>186</v>
      </c>
      <c r="G114" s="509">
        <f>H109</f>
        <v>7100.5917159763303</v>
      </c>
      <c r="H114" s="509"/>
      <c r="I114" s="509"/>
      <c r="J114" s="509"/>
      <c r="K114" s="509"/>
      <c r="L114" s="509"/>
      <c r="M114" s="509"/>
      <c r="N114" s="509"/>
      <c r="P114" s="507" t="s">
        <v>231</v>
      </c>
      <c r="R114" s="508">
        <f>Q109</f>
        <v>4760.8510065605242</v>
      </c>
      <c r="S114" s="509"/>
      <c r="T114" s="509"/>
      <c r="U114" s="509"/>
      <c r="W114" s="507" t="s">
        <v>231</v>
      </c>
      <c r="Y114" s="508">
        <f>G103</f>
        <v>4760.8510065605242</v>
      </c>
      <c r="Z114" s="509"/>
      <c r="AA114" s="509"/>
      <c r="AB114" s="509"/>
      <c r="AF114" s="507" t="s">
        <v>186</v>
      </c>
      <c r="AH114" s="510">
        <v>0.63745389391048402</v>
      </c>
      <c r="AI114" s="510"/>
      <c r="AJ114" s="510"/>
      <c r="AK114" s="510"/>
      <c r="AL114" s="510"/>
    </row>
    <row r="115" spans="1:38" x14ac:dyDescent="0.55000000000000004">
      <c r="A115" s="507"/>
      <c r="B115" s="507"/>
      <c r="C115" s="507"/>
      <c r="E115" s="507"/>
      <c r="G115" s="506">
        <f>H110</f>
        <v>11076.923076923076</v>
      </c>
      <c r="H115" s="506"/>
      <c r="I115" s="506"/>
      <c r="J115" s="506"/>
      <c r="K115" s="35" t="s">
        <v>211</v>
      </c>
      <c r="L115" s="493">
        <f>R46</f>
        <v>0.9990523936303829</v>
      </c>
      <c r="M115" s="493"/>
      <c r="N115" s="493"/>
      <c r="P115" s="507"/>
      <c r="R115" s="511">
        <f>Q110</f>
        <v>11076.923076923076</v>
      </c>
      <c r="S115" s="511"/>
      <c r="T115" s="511"/>
      <c r="U115" s="511"/>
      <c r="W115" s="507"/>
      <c r="Y115" s="511">
        <f>X110</f>
        <v>11076.923076923076</v>
      </c>
      <c r="Z115" s="511"/>
      <c r="AA115" s="511"/>
      <c r="AB115" s="511"/>
      <c r="AF115" s="507"/>
      <c r="AH115" s="510"/>
      <c r="AI115" s="510"/>
      <c r="AJ115" s="510"/>
      <c r="AK115" s="510"/>
      <c r="AL115" s="510"/>
    </row>
  </sheetData>
  <mergeCells count="218">
    <mergeCell ref="E17:G17"/>
    <mergeCell ref="R17:T17"/>
    <mergeCell ref="V17:X17"/>
    <mergeCell ref="E18:G18"/>
    <mergeCell ref="T18:V18"/>
    <mergeCell ref="AC18:AE18"/>
    <mergeCell ref="A8:AM8"/>
    <mergeCell ref="A9:AM9"/>
    <mergeCell ref="A10:AM10"/>
    <mergeCell ref="E14:G14"/>
    <mergeCell ref="R14:T14"/>
    <mergeCell ref="AE14:AG14"/>
    <mergeCell ref="E22:G22"/>
    <mergeCell ref="T23:W23"/>
    <mergeCell ref="T24:W24"/>
    <mergeCell ref="AC24:AE24"/>
    <mergeCell ref="G27:I27"/>
    <mergeCell ref="G28:I28"/>
    <mergeCell ref="E19:G19"/>
    <mergeCell ref="E20:G20"/>
    <mergeCell ref="R20:T20"/>
    <mergeCell ref="V20:X20"/>
    <mergeCell ref="T21:V21"/>
    <mergeCell ref="AC21:AE21"/>
    <mergeCell ref="AA41:AC41"/>
    <mergeCell ref="AE41:AF41"/>
    <mergeCell ref="AH41:AK41"/>
    <mergeCell ref="A44:C44"/>
    <mergeCell ref="R44:V44"/>
    <mergeCell ref="AH44:AJ44"/>
    <mergeCell ref="G30:J30"/>
    <mergeCell ref="G31:J31"/>
    <mergeCell ref="G33:I33"/>
    <mergeCell ref="W33:Y33"/>
    <mergeCell ref="G34:I34"/>
    <mergeCell ref="W34:Y34"/>
    <mergeCell ref="A46:C46"/>
    <mergeCell ref="R46:V46"/>
    <mergeCell ref="A51:C51"/>
    <mergeCell ref="G51:I51"/>
    <mergeCell ref="A52:C52"/>
    <mergeCell ref="G52:I52"/>
    <mergeCell ref="K52:M52"/>
    <mergeCell ref="Q52:S52"/>
    <mergeCell ref="R38:V38"/>
    <mergeCell ref="R41:V41"/>
    <mergeCell ref="W61:AA61"/>
    <mergeCell ref="A62:C62"/>
    <mergeCell ref="E62:I62"/>
    <mergeCell ref="K62:O62"/>
    <mergeCell ref="Q62:U62"/>
    <mergeCell ref="W62:AA62"/>
    <mergeCell ref="A53:C53"/>
    <mergeCell ref="G53:I53"/>
    <mergeCell ref="K53:M53"/>
    <mergeCell ref="Q53:S53"/>
    <mergeCell ref="A61:C61"/>
    <mergeCell ref="E61:I61"/>
    <mergeCell ref="K61:O61"/>
    <mergeCell ref="Q61:U61"/>
    <mergeCell ref="A63:C63"/>
    <mergeCell ref="E63:I63"/>
    <mergeCell ref="K63:O63"/>
    <mergeCell ref="Q63:U63"/>
    <mergeCell ref="W63:AA63"/>
    <mergeCell ref="A64:C64"/>
    <mergeCell ref="E64:I64"/>
    <mergeCell ref="K64:O64"/>
    <mergeCell ref="Q64:U64"/>
    <mergeCell ref="W64:AA64"/>
    <mergeCell ref="A65:C65"/>
    <mergeCell ref="E65:I65"/>
    <mergeCell ref="K65:O65"/>
    <mergeCell ref="Q65:U65"/>
    <mergeCell ref="W65:AA65"/>
    <mergeCell ref="A66:C66"/>
    <mergeCell ref="E66:I66"/>
    <mergeCell ref="K66:O66"/>
    <mergeCell ref="Q66:U66"/>
    <mergeCell ref="W66:AA66"/>
    <mergeCell ref="A67:C67"/>
    <mergeCell ref="E67:I67"/>
    <mergeCell ref="K67:O67"/>
    <mergeCell ref="Q67:U67"/>
    <mergeCell ref="W67:AA67"/>
    <mergeCell ref="A68:C68"/>
    <mergeCell ref="E68:I68"/>
    <mergeCell ref="K68:O68"/>
    <mergeCell ref="Q68:U68"/>
    <mergeCell ref="W68:AA68"/>
    <mergeCell ref="A69:C69"/>
    <mergeCell ref="E69:I69"/>
    <mergeCell ref="K69:O69"/>
    <mergeCell ref="Q69:U69"/>
    <mergeCell ref="W69:AA69"/>
    <mergeCell ref="A70:C70"/>
    <mergeCell ref="E70:I70"/>
    <mergeCell ref="K70:O70"/>
    <mergeCell ref="Q70:U70"/>
    <mergeCell ref="W70:AA70"/>
    <mergeCell ref="A74:C74"/>
    <mergeCell ref="E74:I74"/>
    <mergeCell ref="K74:O74"/>
    <mergeCell ref="Q74:U74"/>
    <mergeCell ref="W74:AA74"/>
    <mergeCell ref="A76:C76"/>
    <mergeCell ref="G76:J76"/>
    <mergeCell ref="A71:C71"/>
    <mergeCell ref="E71:I71"/>
    <mergeCell ref="K71:O71"/>
    <mergeCell ref="Q71:U71"/>
    <mergeCell ref="W71:AA71"/>
    <mergeCell ref="A72:C72"/>
    <mergeCell ref="E72:I72"/>
    <mergeCell ref="K72:O72"/>
    <mergeCell ref="Q72:U72"/>
    <mergeCell ref="W72:AA72"/>
    <mergeCell ref="A80:C80"/>
    <mergeCell ref="E80:I80"/>
    <mergeCell ref="K80:O80"/>
    <mergeCell ref="Q80:U80"/>
    <mergeCell ref="W80:AA80"/>
    <mergeCell ref="A81:C81"/>
    <mergeCell ref="E81:I81"/>
    <mergeCell ref="K81:O81"/>
    <mergeCell ref="Q81:U81"/>
    <mergeCell ref="W81:AA81"/>
    <mergeCell ref="A82:C82"/>
    <mergeCell ref="E82:I82"/>
    <mergeCell ref="K82:O82"/>
    <mergeCell ref="Q82:U82"/>
    <mergeCell ref="W82:AA82"/>
    <mergeCell ref="A83:C83"/>
    <mergeCell ref="E83:I83"/>
    <mergeCell ref="K83:O83"/>
    <mergeCell ref="Q83:U83"/>
    <mergeCell ref="W83:AA83"/>
    <mergeCell ref="A84:C84"/>
    <mergeCell ref="E84:I84"/>
    <mergeCell ref="K84:O84"/>
    <mergeCell ref="Q84:U84"/>
    <mergeCell ref="W84:AA84"/>
    <mergeCell ref="A85:C85"/>
    <mergeCell ref="E85:I85"/>
    <mergeCell ref="K85:O85"/>
    <mergeCell ref="Q85:U85"/>
    <mergeCell ref="W85:AA85"/>
    <mergeCell ref="A86:C86"/>
    <mergeCell ref="E86:I86"/>
    <mergeCell ref="K86:O86"/>
    <mergeCell ref="Q86:U86"/>
    <mergeCell ref="W86:AA86"/>
    <mergeCell ref="A87:C87"/>
    <mergeCell ref="E87:I87"/>
    <mergeCell ref="K87:O87"/>
    <mergeCell ref="Q87:U87"/>
    <mergeCell ref="W87:AA87"/>
    <mergeCell ref="A88:C88"/>
    <mergeCell ref="E88:I88"/>
    <mergeCell ref="K88:O88"/>
    <mergeCell ref="Q88:U88"/>
    <mergeCell ref="W88:AA88"/>
    <mergeCell ref="A89:C89"/>
    <mergeCell ref="E89:I89"/>
    <mergeCell ref="K89:O89"/>
    <mergeCell ref="Q89:U89"/>
    <mergeCell ref="W89:AA89"/>
    <mergeCell ref="A93:C93"/>
    <mergeCell ref="E93:I93"/>
    <mergeCell ref="K93:O93"/>
    <mergeCell ref="Q93:U93"/>
    <mergeCell ref="W93:AA93"/>
    <mergeCell ref="A95:C95"/>
    <mergeCell ref="G95:J95"/>
    <mergeCell ref="A90:C90"/>
    <mergeCell ref="E90:I90"/>
    <mergeCell ref="K90:O90"/>
    <mergeCell ref="Q90:U90"/>
    <mergeCell ref="W90:AA90"/>
    <mergeCell ref="A91:C91"/>
    <mergeCell ref="E91:I91"/>
    <mergeCell ref="K91:O91"/>
    <mergeCell ref="Q91:U91"/>
    <mergeCell ref="W91:AA91"/>
    <mergeCell ref="G99:I99"/>
    <mergeCell ref="G101:I101"/>
    <mergeCell ref="G103:I103"/>
    <mergeCell ref="A106:AM106"/>
    <mergeCell ref="A107:D107"/>
    <mergeCell ref="A109:C110"/>
    <mergeCell ref="E109:E110"/>
    <mergeCell ref="G109:G110"/>
    <mergeCell ref="H109:K109"/>
    <mergeCell ref="L109:L110"/>
    <mergeCell ref="A112:D112"/>
    <mergeCell ref="A114:C115"/>
    <mergeCell ref="E114:E115"/>
    <mergeCell ref="G114:N114"/>
    <mergeCell ref="P114:P115"/>
    <mergeCell ref="R114:U114"/>
    <mergeCell ref="O109:O110"/>
    <mergeCell ref="Q109:T109"/>
    <mergeCell ref="V109:V110"/>
    <mergeCell ref="W114:W115"/>
    <mergeCell ref="Y114:AB114"/>
    <mergeCell ref="AF114:AF115"/>
    <mergeCell ref="AH114:AL115"/>
    <mergeCell ref="G115:J115"/>
    <mergeCell ref="L115:N115"/>
    <mergeCell ref="R115:U115"/>
    <mergeCell ref="Y115:AB115"/>
    <mergeCell ref="AH109:AL110"/>
    <mergeCell ref="H110:K110"/>
    <mergeCell ref="Q110:T110"/>
    <mergeCell ref="X110:AD110"/>
    <mergeCell ref="X109:AA109"/>
    <mergeCell ref="AC109:AD109"/>
    <mergeCell ref="AF109:AF110"/>
  </mergeCells>
  <conditionalFormatting sqref="A112:AC113 A114:V115 AF114:AF115 AH114">
    <cfRule type="expression" dxfId="2" priority="3">
      <formula>$A$112&lt;&gt;$AH$41</formula>
    </cfRule>
  </conditionalFormatting>
  <conditionalFormatting sqref="A107:AL109 A110:X110 AE110:AL110">
    <cfRule type="expression" dxfId="1" priority="2">
      <formula>$A$107&lt;&gt;$AH$41</formula>
    </cfRule>
  </conditionalFormatting>
  <conditionalFormatting sqref="W114:AB115">
    <cfRule type="expression" dxfId="0" priority="1">
      <formula>$A$112&lt;&gt;$AH$41</formula>
    </cfRule>
  </conditionalFormatting>
  <pageMargins left="0.7" right="0.7" top="0.75" bottom="0.75" header="0.3" footer="0.3"/>
  <pageSetup paperSize="9" orientation="portrait" r:id="rId1"/>
  <headerFooter>
    <oddHeader>&amp;C&amp;"-,Bold"Stützenbemessung nach
DIN EN 1995-1-1:2010-12</oddHeader>
    <oddFooter>&amp;L&amp;11&amp;K00-049&amp;D&amp;R&amp;11&amp;K00-049&amp;P</oddFooter>
  </headerFooter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330FDC-9184-47BF-8B36-9A9293C2A816}">
  <sheetPr codeName="Tabelle36">
    <tabColor theme="1" tint="4.9989318521683403E-2"/>
  </sheetPr>
  <dimension ref="A1:S11"/>
  <sheetViews>
    <sheetView showGridLines="0" zoomScale="85" zoomScaleNormal="85" workbookViewId="0">
      <selection activeCell="F29" sqref="F29"/>
    </sheetView>
  </sheetViews>
  <sheetFormatPr defaultColWidth="10.84765625" defaultRowHeight="15" customHeight="1" x14ac:dyDescent="0.55000000000000004"/>
  <cols>
    <col min="1" max="1" width="2.546875" style="48" customWidth="1"/>
    <col min="2" max="15" width="11.69921875" style="48" customWidth="1"/>
    <col min="16" max="16" width="10.84765625" style="48"/>
    <col min="17" max="17" width="13.75" style="48" customWidth="1"/>
    <col min="18" max="16384" width="10.84765625" style="48"/>
  </cols>
  <sheetData>
    <row r="1" spans="1:19" s="612" customFormat="1" ht="15" customHeight="1" x14ac:dyDescent="0.55000000000000004">
      <c r="A1" s="612">
        <v>1</v>
      </c>
      <c r="B1" s="612">
        <v>2</v>
      </c>
      <c r="C1" s="612">
        <v>3</v>
      </c>
      <c r="D1" s="612">
        <v>4</v>
      </c>
      <c r="E1" s="612">
        <v>5</v>
      </c>
      <c r="F1" s="612">
        <v>6</v>
      </c>
      <c r="G1" s="612">
        <v>7</v>
      </c>
      <c r="H1" s="612">
        <v>8</v>
      </c>
      <c r="I1" s="612">
        <v>9</v>
      </c>
      <c r="J1" s="612">
        <v>10</v>
      </c>
      <c r="K1" s="612">
        <v>11</v>
      </c>
      <c r="L1" s="612">
        <v>12</v>
      </c>
      <c r="M1" s="612">
        <v>13</v>
      </c>
      <c r="N1" s="612">
        <v>14</v>
      </c>
    </row>
    <row r="2" spans="1:19" ht="27" customHeight="1" x14ac:dyDescent="0.55000000000000004">
      <c r="B2" s="615" t="s">
        <v>369</v>
      </c>
      <c r="C2" s="616"/>
      <c r="D2" s="616"/>
      <c r="E2" s="616"/>
      <c r="F2" s="616"/>
      <c r="G2" s="616"/>
      <c r="H2" s="616"/>
      <c r="I2" s="616"/>
      <c r="J2" s="616"/>
      <c r="K2" s="616"/>
      <c r="L2" s="616"/>
      <c r="M2" s="616"/>
      <c r="N2" s="616"/>
      <c r="O2" s="617"/>
      <c r="Q2" s="624" t="s">
        <v>368</v>
      </c>
      <c r="R2" s="625"/>
      <c r="S2" s="626"/>
    </row>
    <row r="3" spans="1:19" ht="27" customHeight="1" x14ac:dyDescent="0.55000000000000004">
      <c r="B3" s="613"/>
      <c r="C3" s="614" t="s">
        <v>233</v>
      </c>
      <c r="D3" s="614" t="s">
        <v>234</v>
      </c>
      <c r="E3" s="614" t="s">
        <v>235</v>
      </c>
      <c r="F3" s="614" t="s">
        <v>236</v>
      </c>
      <c r="G3" s="614" t="s">
        <v>237</v>
      </c>
      <c r="H3" s="614" t="s">
        <v>238</v>
      </c>
      <c r="I3" s="614" t="s">
        <v>239</v>
      </c>
      <c r="J3" s="614" t="s">
        <v>240</v>
      </c>
      <c r="K3" s="614" t="s">
        <v>241</v>
      </c>
      <c r="L3" s="614" t="s">
        <v>242</v>
      </c>
      <c r="M3" s="614" t="s">
        <v>243</v>
      </c>
      <c r="N3" s="614" t="s">
        <v>244</v>
      </c>
      <c r="O3" s="614" t="s">
        <v>245</v>
      </c>
      <c r="Q3" s="621" t="s">
        <v>121</v>
      </c>
      <c r="R3" s="622" t="s">
        <v>301</v>
      </c>
      <c r="S3" s="623" t="s">
        <v>24</v>
      </c>
    </row>
    <row r="4" spans="1:19" ht="27" customHeight="1" x14ac:dyDescent="0.55000000000000004">
      <c r="B4" s="618" t="s">
        <v>177</v>
      </c>
      <c r="C4" s="611">
        <v>24</v>
      </c>
      <c r="D4" s="608">
        <v>19.2</v>
      </c>
      <c r="E4" s="609">
        <v>0.5</v>
      </c>
      <c r="F4" s="619">
        <v>24</v>
      </c>
      <c r="G4" s="609">
        <v>2.5</v>
      </c>
      <c r="H4" s="609">
        <v>3.5</v>
      </c>
      <c r="I4" s="610">
        <v>11500</v>
      </c>
      <c r="J4" s="610">
        <v>9600</v>
      </c>
      <c r="K4" s="610">
        <v>300</v>
      </c>
      <c r="L4" s="610">
        <v>650</v>
      </c>
      <c r="M4" s="610">
        <v>540</v>
      </c>
      <c r="N4" s="619">
        <v>385</v>
      </c>
      <c r="O4" s="619" t="s">
        <v>39</v>
      </c>
      <c r="Q4" s="49" t="s">
        <v>136</v>
      </c>
      <c r="R4" s="49" t="s">
        <v>302</v>
      </c>
      <c r="S4" s="49" t="s">
        <v>251</v>
      </c>
    </row>
    <row r="5" spans="1:19" ht="27" customHeight="1" x14ac:dyDescent="0.55000000000000004">
      <c r="B5" s="618" t="s">
        <v>173</v>
      </c>
      <c r="C5" s="611">
        <v>24</v>
      </c>
      <c r="D5" s="611">
        <v>17</v>
      </c>
      <c r="E5" s="609">
        <v>0.5</v>
      </c>
      <c r="F5" s="619">
        <v>21.5</v>
      </c>
      <c r="G5" s="609">
        <v>2.5</v>
      </c>
      <c r="H5" s="609">
        <v>3.5</v>
      </c>
      <c r="I5" s="610">
        <v>11000</v>
      </c>
      <c r="J5" s="610">
        <v>9100</v>
      </c>
      <c r="K5" s="610">
        <v>300</v>
      </c>
      <c r="L5" s="610">
        <v>650</v>
      </c>
      <c r="M5" s="610">
        <v>540</v>
      </c>
      <c r="N5" s="619">
        <v>365</v>
      </c>
      <c r="O5" s="619" t="s">
        <v>39</v>
      </c>
      <c r="Q5" s="49" t="s">
        <v>289</v>
      </c>
      <c r="R5" s="49" t="s">
        <v>303</v>
      </c>
      <c r="S5" s="49" t="s">
        <v>46</v>
      </c>
    </row>
    <row r="6" spans="1:19" ht="27" customHeight="1" x14ac:dyDescent="0.55000000000000004">
      <c r="B6" s="618" t="s">
        <v>170</v>
      </c>
      <c r="C6" s="611">
        <v>28</v>
      </c>
      <c r="D6" s="608">
        <v>22.3</v>
      </c>
      <c r="E6" s="609">
        <v>0.5</v>
      </c>
      <c r="F6" s="619">
        <v>28</v>
      </c>
      <c r="G6" s="609">
        <v>2.5</v>
      </c>
      <c r="H6" s="609">
        <v>3.5</v>
      </c>
      <c r="I6" s="610">
        <v>12600</v>
      </c>
      <c r="J6" s="610">
        <v>10500</v>
      </c>
      <c r="K6" s="610">
        <v>300</v>
      </c>
      <c r="L6" s="610">
        <v>650</v>
      </c>
      <c r="M6" s="610">
        <v>540</v>
      </c>
      <c r="N6" s="619">
        <v>425</v>
      </c>
      <c r="O6" s="619">
        <v>460</v>
      </c>
      <c r="Q6" s="49" t="s">
        <v>252</v>
      </c>
      <c r="R6" s="49"/>
      <c r="S6" s="620" t="s">
        <v>113</v>
      </c>
    </row>
    <row r="7" spans="1:19" ht="27" customHeight="1" x14ac:dyDescent="0.55000000000000004">
      <c r="B7" s="618" t="s">
        <v>246</v>
      </c>
      <c r="C7" s="611">
        <v>28</v>
      </c>
      <c r="D7" s="608">
        <v>19.5</v>
      </c>
      <c r="E7" s="609">
        <v>0.5</v>
      </c>
      <c r="F7" s="619">
        <v>24</v>
      </c>
      <c r="G7" s="609">
        <v>2.5</v>
      </c>
      <c r="H7" s="609">
        <v>3.5</v>
      </c>
      <c r="I7" s="610">
        <v>12500</v>
      </c>
      <c r="J7" s="610">
        <v>10400</v>
      </c>
      <c r="K7" s="610">
        <v>300</v>
      </c>
      <c r="L7" s="610">
        <v>650</v>
      </c>
      <c r="M7" s="610">
        <v>540</v>
      </c>
      <c r="N7" s="619">
        <v>390</v>
      </c>
      <c r="O7" s="619" t="s">
        <v>39</v>
      </c>
      <c r="Q7" s="49" t="s">
        <v>253</v>
      </c>
      <c r="R7" s="49"/>
      <c r="S7" s="620" t="s">
        <v>114</v>
      </c>
    </row>
    <row r="8" spans="1:19" ht="27" customHeight="1" x14ac:dyDescent="0.55000000000000004">
      <c r="B8" s="618" t="s">
        <v>247</v>
      </c>
      <c r="C8" s="611">
        <v>32</v>
      </c>
      <c r="D8" s="608">
        <v>22.5</v>
      </c>
      <c r="E8" s="609">
        <v>0.5</v>
      </c>
      <c r="F8" s="619">
        <v>29</v>
      </c>
      <c r="G8" s="609">
        <v>3.3</v>
      </c>
      <c r="H8" s="609">
        <v>3.8</v>
      </c>
      <c r="I8" s="610">
        <v>13700</v>
      </c>
      <c r="J8" s="610">
        <v>11100</v>
      </c>
      <c r="K8" s="610">
        <v>460</v>
      </c>
      <c r="L8" s="610">
        <v>850</v>
      </c>
      <c r="M8" s="610">
        <f t="shared" ref="M8:M11" si="0">2/3*L8</f>
        <v>566.66666666666663</v>
      </c>
      <c r="N8" s="619">
        <v>430</v>
      </c>
      <c r="O8" s="619" t="s">
        <v>39</v>
      </c>
      <c r="Q8" s="49" t="s">
        <v>254</v>
      </c>
      <c r="R8" s="49"/>
      <c r="S8" s="620" t="s">
        <v>282</v>
      </c>
    </row>
    <row r="9" spans="1:19" ht="27" customHeight="1" x14ac:dyDescent="0.55000000000000004">
      <c r="B9" s="618" t="s">
        <v>248</v>
      </c>
      <c r="C9" s="611">
        <v>32</v>
      </c>
      <c r="D9" s="608">
        <v>19.5</v>
      </c>
      <c r="E9" s="609">
        <v>0.5</v>
      </c>
      <c r="F9" s="619">
        <v>24.5</v>
      </c>
      <c r="G9" s="609">
        <v>2.5</v>
      </c>
      <c r="H9" s="609">
        <v>3.5</v>
      </c>
      <c r="I9" s="610">
        <v>13500</v>
      </c>
      <c r="J9" s="610">
        <v>11200</v>
      </c>
      <c r="K9" s="610">
        <v>300</v>
      </c>
      <c r="L9" s="610">
        <v>650</v>
      </c>
      <c r="M9" s="610">
        <v>540</v>
      </c>
      <c r="N9" s="619">
        <v>400</v>
      </c>
      <c r="O9" s="619" t="s">
        <v>39</v>
      </c>
    </row>
    <row r="10" spans="1:19" ht="27" customHeight="1" x14ac:dyDescent="0.55000000000000004">
      <c r="B10" s="618" t="s">
        <v>249</v>
      </c>
      <c r="C10" s="611">
        <v>36</v>
      </c>
      <c r="D10" s="611">
        <v>26</v>
      </c>
      <c r="E10" s="609">
        <v>0.6</v>
      </c>
      <c r="F10" s="619">
        <v>31</v>
      </c>
      <c r="G10" s="609">
        <v>3.6</v>
      </c>
      <c r="H10" s="609">
        <v>4.3</v>
      </c>
      <c r="I10" s="610">
        <v>14700</v>
      </c>
      <c r="J10" s="610">
        <v>11900</v>
      </c>
      <c r="K10" s="610">
        <v>490</v>
      </c>
      <c r="L10" s="610">
        <v>910</v>
      </c>
      <c r="M10" s="610">
        <f t="shared" ref="M10:M11" si="1">2/3*L10</f>
        <v>606.66666666666663</v>
      </c>
      <c r="N10" s="619">
        <v>450</v>
      </c>
      <c r="O10" s="619" t="s">
        <v>39</v>
      </c>
      <c r="P10" s="50"/>
    </row>
    <row r="11" spans="1:19" ht="27" customHeight="1" x14ac:dyDescent="0.55000000000000004">
      <c r="B11" s="618" t="s">
        <v>250</v>
      </c>
      <c r="C11" s="611">
        <v>36</v>
      </c>
      <c r="D11" s="608">
        <v>22.5</v>
      </c>
      <c r="E11" s="609">
        <v>0.5</v>
      </c>
      <c r="F11" s="619">
        <v>29</v>
      </c>
      <c r="G11" s="609">
        <v>3.3</v>
      </c>
      <c r="H11" s="609">
        <v>3.8</v>
      </c>
      <c r="I11" s="610">
        <v>14700</v>
      </c>
      <c r="J11" s="610">
        <v>11900</v>
      </c>
      <c r="K11" s="610">
        <v>460</v>
      </c>
      <c r="L11" s="610">
        <v>850</v>
      </c>
      <c r="M11" s="610">
        <f t="shared" si="1"/>
        <v>566.66666666666663</v>
      </c>
      <c r="N11" s="619">
        <v>430</v>
      </c>
      <c r="O11" s="619" t="s">
        <v>39</v>
      </c>
    </row>
  </sheetData>
  <mergeCells count="2">
    <mergeCell ref="Q2:S2"/>
    <mergeCell ref="B2:O2"/>
  </mergeCells>
  <pageMargins left="0.7" right="0.7" top="0.78740157499999996" bottom="0.78740157499999996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B17"/>
  <sheetViews>
    <sheetView workbookViewId="0">
      <selection activeCell="Q9" sqref="Q9"/>
    </sheetView>
  </sheetViews>
  <sheetFormatPr defaultColWidth="8.84765625" defaultRowHeight="15.6" x14ac:dyDescent="0.6"/>
  <cols>
    <col min="1" max="1" width="14.75" style="1" customWidth="1"/>
    <col min="2" max="2" width="9.25" style="1" customWidth="1"/>
    <col min="3" max="16384" width="8.84765625" style="1"/>
  </cols>
  <sheetData>
    <row r="1" spans="1:2" x14ac:dyDescent="0.6">
      <c r="A1" s="1" t="s">
        <v>8</v>
      </c>
      <c r="B1" s="1" t="s">
        <v>13</v>
      </c>
    </row>
    <row r="2" spans="1:2" x14ac:dyDescent="0.6">
      <c r="A2" s="1" t="s">
        <v>9</v>
      </c>
    </row>
    <row r="3" spans="1:2" x14ac:dyDescent="0.6">
      <c r="A3" s="1" t="s">
        <v>0</v>
      </c>
    </row>
    <row r="4" spans="1:2" x14ac:dyDescent="0.6">
      <c r="A4" s="1" t="s">
        <v>7</v>
      </c>
    </row>
    <row r="5" spans="1:2" x14ac:dyDescent="0.6">
      <c r="A5" s="1" t="s">
        <v>5</v>
      </c>
    </row>
    <row r="6" spans="1:2" x14ac:dyDescent="0.6">
      <c r="A6" s="1" t="s">
        <v>1</v>
      </c>
    </row>
    <row r="7" spans="1:2" x14ac:dyDescent="0.6">
      <c r="A7" s="1" t="s">
        <v>2</v>
      </c>
      <c r="B7" s="1" t="b">
        <v>0</v>
      </c>
    </row>
    <row r="8" spans="1:2" x14ac:dyDescent="0.6">
      <c r="A8" s="1" t="s">
        <v>3</v>
      </c>
      <c r="B8" s="1" t="b">
        <v>0</v>
      </c>
    </row>
    <row r="9" spans="1:2" x14ac:dyDescent="0.6">
      <c r="A9" s="1" t="s">
        <v>14</v>
      </c>
      <c r="B9" s="1" t="b">
        <v>0</v>
      </c>
    </row>
    <row r="13" spans="1:2" x14ac:dyDescent="0.6">
      <c r="A13" s="2" t="s">
        <v>4</v>
      </c>
    </row>
    <row r="14" spans="1:2" x14ac:dyDescent="0.6">
      <c r="A14" s="1" t="s">
        <v>10</v>
      </c>
    </row>
    <row r="15" spans="1:2" x14ac:dyDescent="0.6">
      <c r="A15" s="1" t="s">
        <v>11</v>
      </c>
    </row>
    <row r="16" spans="1:2" x14ac:dyDescent="0.6">
      <c r="A16" s="1" t="s">
        <v>6</v>
      </c>
    </row>
    <row r="17" spans="1:1" x14ac:dyDescent="0.6">
      <c r="A17" s="1" t="s">
        <v>12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1</vt:i4>
      </vt:variant>
    </vt:vector>
  </HeadingPairs>
  <TitlesOfParts>
    <vt:vector size="10" baseType="lpstr">
      <vt:lpstr>Lastabtrag</vt:lpstr>
      <vt:lpstr>Stützenbemessung</vt:lpstr>
      <vt:lpstr>-H-DONE-</vt:lpstr>
      <vt:lpstr>Parameterstudien</vt:lpstr>
      <vt:lpstr>-HOLZ- (2)</vt:lpstr>
      <vt:lpstr>Theorie II. Ordnung</vt:lpstr>
      <vt:lpstr>Theorie II. Ordnung (2)</vt:lpstr>
      <vt:lpstr>Listen und Kennwerte</vt:lpstr>
      <vt:lpstr>_xlwings.conf</vt:lpstr>
      <vt:lpstr>'-H-DONE-'!Print_Area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</dc:creator>
  <cp:lastModifiedBy>Cal Mense</cp:lastModifiedBy>
  <cp:lastPrinted>2022-09-10T13:36:57Z</cp:lastPrinted>
  <dcterms:created xsi:type="dcterms:W3CDTF">2015-01-25T11:31:25Z</dcterms:created>
  <dcterms:modified xsi:type="dcterms:W3CDTF">2022-09-10T14:25:48Z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82fa3fd3-029b-403d-91b4-1dc930cb0e60_Enabled">
    <vt:lpwstr>true</vt:lpwstr>
  </property>
  <property fmtid="{D5CDD505-2E9C-101B-9397-08002B2CF9AE}" pid="3" name="MSIP_Label_82fa3fd3-029b-403d-91b4-1dc930cb0e60_SetDate">
    <vt:lpwstr>2022-06-22T09:37:43Z</vt:lpwstr>
  </property>
  <property fmtid="{D5CDD505-2E9C-101B-9397-08002B2CF9AE}" pid="4" name="MSIP_Label_82fa3fd3-029b-403d-91b4-1dc930cb0e60_Method">
    <vt:lpwstr>Standard</vt:lpwstr>
  </property>
  <property fmtid="{D5CDD505-2E9C-101B-9397-08002B2CF9AE}" pid="5" name="MSIP_Label_82fa3fd3-029b-403d-91b4-1dc930cb0e60_Name">
    <vt:lpwstr>82fa3fd3-029b-403d-91b4-1dc930cb0e60</vt:lpwstr>
  </property>
  <property fmtid="{D5CDD505-2E9C-101B-9397-08002B2CF9AE}" pid="6" name="MSIP_Label_82fa3fd3-029b-403d-91b4-1dc930cb0e60_SiteId">
    <vt:lpwstr>4ae48b41-0137-4599-8661-fc641fe77bea</vt:lpwstr>
  </property>
  <property fmtid="{D5CDD505-2E9C-101B-9397-08002B2CF9AE}" pid="7" name="MSIP_Label_82fa3fd3-029b-403d-91b4-1dc930cb0e60_ActionId">
    <vt:lpwstr>f60effc6-9a0e-45d1-a56c-f439f0e6f0c7</vt:lpwstr>
  </property>
  <property fmtid="{D5CDD505-2E9C-101B-9397-08002B2CF9AE}" pid="8" name="MSIP_Label_82fa3fd3-029b-403d-91b4-1dc930cb0e60_ContentBits">
    <vt:lpwstr>0</vt:lpwstr>
  </property>
</Properties>
</file>